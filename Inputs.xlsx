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0" documentId="13_ncr:1_{34CF6988-A617-4447-8A92-CAB330465311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Info Cuencas" sheetId="1" r:id="rId1"/>
    <sheet name="HUS" sheetId="2" r:id="rId2"/>
    <sheet name="Pp Max" sheetId="3" r:id="rId3"/>
    <sheet name="CD" sheetId="4" r:id="rId4"/>
    <sheet name="DT_USC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" l="1" a="1"/>
  <c r="B1" i="4" s="1"/>
  <c r="B1" i="3" a="1"/>
  <c r="B1" i="3" s="1"/>
  <c r="D2" i="2" l="1"/>
  <c r="E2" i="2"/>
  <c r="F3" i="2" l="1"/>
  <c r="F4" i="2"/>
  <c r="F5" i="2"/>
  <c r="F2" i="2"/>
  <c r="E3" i="2"/>
  <c r="E10" i="2"/>
  <c r="E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3" i="2"/>
  <c r="D7" i="2"/>
  <c r="D8" i="2"/>
  <c r="D9" i="2"/>
  <c r="B2" i="2"/>
  <c r="R2" i="1"/>
  <c r="B3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A3" i="2"/>
  <c r="A4" i="2"/>
  <c r="B4" i="2" s="1"/>
  <c r="A5" i="2"/>
  <c r="B5" i="2" s="1"/>
  <c r="A6" i="2"/>
  <c r="B6" i="2" s="1"/>
  <c r="A7" i="2"/>
  <c r="F7" i="2" s="1"/>
  <c r="A8" i="2"/>
  <c r="F8" i="2" s="1"/>
  <c r="A9" i="2"/>
  <c r="F9" i="2" s="1"/>
  <c r="A10" i="2"/>
  <c r="F10" i="2" s="1"/>
  <c r="A11" i="2"/>
  <c r="B11" i="2" s="1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2" i="2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2" i="1"/>
  <c r="R3" i="1"/>
  <c r="H3" i="1"/>
  <c r="H2" i="1"/>
  <c r="F3" i="1"/>
  <c r="F2" i="1"/>
  <c r="D10" i="2" l="1"/>
  <c r="F6" i="2"/>
  <c r="D6" i="2"/>
  <c r="E9" i="2"/>
  <c r="F11" i="2"/>
  <c r="D5" i="2"/>
  <c r="E8" i="2"/>
  <c r="B10" i="2"/>
  <c r="D4" i="2"/>
  <c r="E7" i="2"/>
  <c r="B9" i="2"/>
  <c r="E6" i="2"/>
  <c r="B8" i="2"/>
  <c r="D11" i="2"/>
  <c r="E5" i="2"/>
  <c r="B7" i="2"/>
  <c r="E4" i="2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M4" i="1"/>
  <c r="M5" i="1"/>
  <c r="M6" i="1"/>
  <c r="M7" i="1"/>
  <c r="M8" i="1"/>
  <c r="M9" i="1"/>
  <c r="M10" i="1"/>
  <c r="M11" i="1"/>
  <c r="M3" i="1"/>
  <c r="P3" i="1"/>
  <c r="P2" i="1"/>
  <c r="O3" i="1"/>
  <c r="O2" i="1"/>
  <c r="N3" i="1"/>
  <c r="N2" i="1"/>
  <c r="Q3" i="1"/>
  <c r="Q2" i="1"/>
  <c r="O7" i="1" l="1"/>
  <c r="P7" i="1"/>
  <c r="O8" i="1"/>
  <c r="P8" i="1"/>
  <c r="P9" i="1"/>
  <c r="O9" i="1"/>
  <c r="P10" i="1"/>
  <c r="O10" i="1"/>
  <c r="O11" i="1"/>
  <c r="P11" i="1"/>
  <c r="O5" i="1"/>
  <c r="P5" i="1"/>
  <c r="P6" i="1"/>
  <c r="O6" i="1"/>
  <c r="O4" i="1"/>
  <c r="P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<sst xmlns="http://schemas.openxmlformats.org/spreadsheetml/2006/main" count="32" uniqueCount="30">
  <si>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</si>
  <si>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</si>
  <si>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</si>
  <si>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</si>
  <si>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</si>
  <si>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</si>
  <si>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</si>
  <si>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</si>
  <si>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</si>
  <si>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</si>
  <si>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</si>
  <si>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</si>
  <si>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</si>
  <si>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</si>
  <si>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</si>
  <si>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</si>
  <si>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</si>
  <si>
    <t>C_01_CL</t>
  </si>
  <si>
    <t>C_02_CL</t>
  </si>
  <si>
    <t>ΔD propuesto (hr)</t>
  </si>
  <si>
    <t>ΔD adoptado (hr)</t>
  </si>
  <si>
    <t>Tiempo al Peak (hr)</t>
  </si>
  <si>
    <t>Tiempo Base (hr)</t>
  </si>
  <si>
    <t>Caudal Peak (m3/s/mm)</t>
  </si>
  <si>
    <t>Horas</t>
  </si>
  <si>
    <t>III</t>
  </si>
  <si>
    <t>II</t>
  </si>
  <si>
    <t>IA</t>
  </si>
  <si>
    <t>I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</si>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</sst>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/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293370</xdr:colOff>
      <xdr:row>0</xdr:row>
      <xdr:rowOff>381001</xdr:rowOff>
    </xdr:from>
    <xdr:to>
      <xdr:col>23</xdr:col>
      <xdr:colOff>64770</xdr:colOff>
      <xdr:row>3</xdr:row>
      <xdr:rowOff>85726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6028670" y="381001"/>
          <a:ext cx="2819400" cy="76200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80"/>
  <sheetViews>
    <sheetView workbookViewId="0">
      <selection activeCell="T17" sqref="T17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t="s">
        <v>17</v>
      </c>
      <c r="B2" s="4">
        <v>117.271</v>
      </c>
      <c r="C2">
        <v>75</v>
      </c>
      <c r="D2" s="5">
        <v>1715</v>
      </c>
      <c r="E2" s="5">
        <v>3626.5</v>
      </c>
      <c r="F2" s="5">
        <f>E2-D2</f>
        <v>1911.5</v>
      </c>
      <c r="G2" s="5">
        <v>2962.0915254327729</v>
      </c>
      <c r="H2" s="3">
        <f>F2/(I2*1000)</f>
        <v>5.214698821475338E-2</v>
      </c>
      <c r="I2" s="3">
        <v>36.655999999999999</v>
      </c>
      <c r="J2" s="3">
        <v>14.802</v>
      </c>
      <c r="K2" s="5">
        <v>1</v>
      </c>
      <c r="M2" s="6">
        <f>IF(OR(I2="",F2=""),"",IF(OR(I2&lt;=0,F2&lt;=0),"",0.95*((I2^3)/F2)^0.385))</f>
        <v>3.3188074541768171</v>
      </c>
      <c r="N2" s="6">
        <f>IF(OR(B2="",I2="",G2="",D2=""),"",IF(OR(B2&lt;=0,I2&lt;=0,G2&lt;=D2),"",(4*SQRT(B2)+1.5*I2)/(0.8*SQRT(G2-D2))))</f>
        <v>3.4795047525588481</v>
      </c>
      <c r="O2" s="6">
        <f>IF(OR(I2="",C2="",H2=""),"",IF(OR(I2&lt;=0,H2&lt;=0,C2&lt;=0,C2&gt;100),"",((100*((I2*1000/0.3048)^0.8)*(((1000/C2)-9)^0.7))/(1900*SQRT(H2*100)))/60))</f>
        <v>12.426822327700261</v>
      </c>
      <c r="P2" s="6">
        <f>IF(OR(I2="",H2=""),"",IF(OR(I2&lt;=0,H2&lt;=0),"",(18*(I2^0.76)/(H2^0.19))/60))</f>
        <v>8.120783933193696</v>
      </c>
      <c r="Q2" s="6">
        <f>IF(OR(I2="",K2=""),"",IF(OR(I2&lt;=0,K2&lt;=0),"",I2/(3.6*K2)))</f>
        <v>10.182222222222222</v>
      </c>
      <c r="R2" s="10">
        <f>AVERAGE(M2,P2)</f>
        <v>5.7197956936852563</v>
      </c>
    </row>
    <row r="3" spans="1:18" x14ac:dyDescent="0.3">
      <c r="A3" t="s">
        <v>18</v>
      </c>
      <c r="B3" s="4">
        <v>447.74</v>
      </c>
      <c r="C3">
        <v>75</v>
      </c>
      <c r="D3" s="5">
        <v>1813</v>
      </c>
      <c r="E3" s="5">
        <v>3219</v>
      </c>
      <c r="F3" s="5">
        <f>E3-D3</f>
        <v>1406</v>
      </c>
      <c r="G3" s="5">
        <v>2803.62</v>
      </c>
      <c r="H3" s="3">
        <f>F3/(I3*1000)</f>
        <v>2.8880124887026539E-2</v>
      </c>
      <c r="I3" s="3">
        <v>48.683999999999997</v>
      </c>
      <c r="J3" s="3">
        <v>18.431000000000001</v>
      </c>
      <c r="K3" s="5">
        <v>1</v>
      </c>
      <c r="M3" s="6">
        <f t="shared" ref="M3:M11" si="0">IF(OR(I3="",F3=""),"",IF(OR(I3&lt;=0,F3&lt;=0),"",0.95*((I3^3)/F3)^0.385))</f>
        <v>5.1841836722908408</v>
      </c>
      <c r="N3" s="6">
        <f>IF(OR(B3="",I3="",G3="",D3=""),"",IF(OR(B3&lt;=0,I3&lt;=0,G3&lt;=D3),"",(4*SQRT(B3)+1.5*I3)/(0.8*SQRT(G3-D3))))</f>
        <v>6.2617115658450908</v>
      </c>
      <c r="O3" s="6">
        <f>IF(OR(I3="",C3="",H3=""),"",IF(OR(I3&lt;=0,H3&lt;=0,C3&lt;=0,C3&gt;100),"",((100*((I3*1000/0.3048)^0.8)*(((1000/C3)-9)^0.7))/(1900*SQRT(H3*100)))/60))</f>
        <v>20.954056778821283</v>
      </c>
      <c r="P3" s="6">
        <f>IF(OR(I3="",H3=""),"",IF(OR(I3&lt;=0,H3&lt;=0),"",(18*(I3^0.76)/(H3^0.19))/60))</f>
        <v>11.272519230099329</v>
      </c>
      <c r="Q3" s="6">
        <f>IF(OR(I3="",K3=""),"",IF(OR(I3&lt;=0,K3&lt;=0),"",I3/(3.6*K3)))</f>
        <v>13.523333333333332</v>
      </c>
      <c r="R3" s="10">
        <f>AVERAGE(M3,P3)</f>
        <v>8.2283514511950848</v>
      </c>
    </row>
    <row r="4" spans="1:18" x14ac:dyDescent="0.3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1" si="1">IF(OR(B4="",I4="",G4="",D4=""),"",IF(OR(B4&lt;=0,I4&lt;=0,G4&lt;=D4),"",(4*SQRT(B4)+1.5*I4)/(0.8*SQRT(G4-D4))))</f>
        <v/>
      </c>
      <c r="O4" s="6" t="str">
        <f t="shared" ref="O4:O11" si="2">IF(OR(I4="",C4="",H4=""),"",IF(OR(I4&lt;=0,H4&lt;=0,C4&lt;=0,C4&gt;100),"",((100*((I4*1000/0.3048)^0.8)*(((1000/C4)-9)^0.7))/(1900*SQRT(H4*100)))/60))</f>
        <v/>
      </c>
      <c r="P4" s="6" t="str">
        <f t="shared" ref="P4:P11" si="3">IF(OR(I4="",H4=""),"",IF(OR(I4&lt;=0,H4&lt;=0),"",(18*(I4^0.76)/(H4^0.19))/60))</f>
        <v/>
      </c>
      <c r="Q4" s="6" t="str">
        <f t="shared" ref="Q4:Q11" si="4">IF(OR(I4="",K4=""),"",IF(OR(I4&lt;=0,K4&lt;=0),"",I4/(3.6*K4)))</f>
        <v/>
      </c>
      <c r="R4" s="3"/>
    </row>
    <row r="5" spans="1:18" x14ac:dyDescent="0.3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  <c r="R5" s="3"/>
    </row>
    <row r="6" spans="1:18" x14ac:dyDescent="0.3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  <c r="R6" s="3"/>
    </row>
    <row r="7" spans="1:18" x14ac:dyDescent="0.3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  <c r="R7" s="3"/>
    </row>
    <row r="8" spans="1:18" x14ac:dyDescent="0.3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  <c r="R8" s="3"/>
    </row>
    <row r="9" spans="1:18" x14ac:dyDescent="0.3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  <c r="R9" s="3"/>
    </row>
    <row r="10" spans="1:18" x14ac:dyDescent="0.3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  <c r="R10" s="3"/>
    </row>
    <row r="11" spans="1:18" x14ac:dyDescent="0.3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ref="M12:M75" si="5">IF(OR(I12="",F12=""),"",IF(OR(I12&lt;=0,F12&lt;=0),"",0.95*((I12^3)/F12)^0.385))</f>
        <v/>
      </c>
      <c r="N12" s="6" t="str">
        <f t="shared" ref="N12:N75" si="6">IF(OR(B12="",I12="",G12="",D12=""),"",IF(OR(B12&lt;=0,I12&lt;=0,G12&lt;=D12),"",(4*SQRT(B12)+1.5*I12)/(0.8*SQRT(G12-D12))))</f>
        <v/>
      </c>
      <c r="O12" s="6" t="str">
        <f t="shared" ref="O12:O75" si="7">IF(OR(I12="",C12="",H12=""),"",IF(OR(I12&lt;=0,H12&lt;=0,C12&lt;=0,C12&gt;100),"",((100*((I12*1000/0.3048)^0.8)*(((1000/C12)-9)^0.7))/(1900*SQRT(H12*100)))/60))</f>
        <v/>
      </c>
      <c r="P12" s="6" t="str">
        <f t="shared" ref="P12:P75" si="8">IF(OR(I12="",H12=""),"",IF(OR(I12&lt;=0,H12&lt;=0),"",(18*(I12^0.76)/(H12^0.19))/60))</f>
        <v/>
      </c>
      <c r="Q12" s="6" t="str">
        <f t="shared" ref="Q12:Q75" si="9">IF(OR(I12="",K12=""),"",IF(OR(I12&lt;=0,K12&lt;=0),"",I12/(3.6*K12)))</f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5"/>
        <v/>
      </c>
      <c r="N13" s="6" t="str">
        <f t="shared" si="6"/>
        <v/>
      </c>
      <c r="O13" s="6" t="str">
        <f t="shared" si="7"/>
        <v/>
      </c>
      <c r="P13" s="6" t="str">
        <f t="shared" si="8"/>
        <v/>
      </c>
      <c r="Q13" s="6" t="str">
        <f t="shared" si="9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5"/>
        <v/>
      </c>
      <c r="N14" s="6" t="str">
        <f t="shared" si="6"/>
        <v/>
      </c>
      <c r="O14" s="6" t="str">
        <f t="shared" si="7"/>
        <v/>
      </c>
      <c r="P14" s="6" t="str">
        <f t="shared" si="8"/>
        <v/>
      </c>
      <c r="Q14" s="6" t="str">
        <f t="shared" si="9"/>
        <v/>
      </c>
    </row>
    <row r="15" spans="1:18" x14ac:dyDescent="0.3">
      <c r="M15" s="6" t="str">
        <f t="shared" si="5"/>
        <v/>
      </c>
      <c r="N15" s="6" t="str">
        <f t="shared" si="6"/>
        <v/>
      </c>
      <c r="O15" s="6" t="str">
        <f t="shared" si="7"/>
        <v/>
      </c>
      <c r="P15" s="6" t="str">
        <f t="shared" si="8"/>
        <v/>
      </c>
      <c r="Q15" s="6" t="str">
        <f t="shared" si="9"/>
        <v/>
      </c>
    </row>
    <row r="16" spans="1:18" x14ac:dyDescent="0.3">
      <c r="M16" s="6" t="str">
        <f t="shared" si="5"/>
        <v/>
      </c>
      <c r="N16" s="6" t="str">
        <f t="shared" si="6"/>
        <v/>
      </c>
      <c r="O16" s="6" t="str">
        <f t="shared" si="7"/>
        <v/>
      </c>
      <c r="P16" s="6" t="str">
        <f t="shared" si="8"/>
        <v/>
      </c>
      <c r="Q16" s="6" t="str">
        <f t="shared" si="9"/>
        <v/>
      </c>
    </row>
    <row r="17" spans="8:17" x14ac:dyDescent="0.3">
      <c r="M17" s="6" t="str">
        <f t="shared" si="5"/>
        <v/>
      </c>
      <c r="N17" s="6" t="str">
        <f t="shared" si="6"/>
        <v/>
      </c>
      <c r="O17" s="6" t="str">
        <f t="shared" si="7"/>
        <v/>
      </c>
      <c r="P17" s="6" t="str">
        <f t="shared" si="8"/>
        <v/>
      </c>
      <c r="Q17" s="6" t="str">
        <f t="shared" si="9"/>
        <v/>
      </c>
    </row>
    <row r="18" spans="8:17" x14ac:dyDescent="0.3">
      <c r="M18" s="6" t="str">
        <f t="shared" si="5"/>
        <v/>
      </c>
      <c r="N18" s="6" t="str">
        <f t="shared" si="6"/>
        <v/>
      </c>
      <c r="O18" s="6" t="str">
        <f t="shared" si="7"/>
        <v/>
      </c>
      <c r="P18" s="6" t="str">
        <f t="shared" si="8"/>
        <v/>
      </c>
      <c r="Q18" s="6" t="str">
        <f t="shared" si="9"/>
        <v/>
      </c>
    </row>
    <row r="19" spans="8:17" x14ac:dyDescent="0.3">
      <c r="H19" s="3"/>
      <c r="M19" s="6" t="str">
        <f t="shared" si="5"/>
        <v/>
      </c>
      <c r="N19" s="6" t="str">
        <f t="shared" si="6"/>
        <v/>
      </c>
      <c r="O19" s="6" t="str">
        <f t="shared" si="7"/>
        <v/>
      </c>
      <c r="P19" s="6" t="str">
        <f t="shared" si="8"/>
        <v/>
      </c>
      <c r="Q19" s="6" t="str">
        <f t="shared" si="9"/>
        <v/>
      </c>
    </row>
    <row r="20" spans="8:17" x14ac:dyDescent="0.3">
      <c r="H20" s="3"/>
      <c r="M20" s="6" t="str">
        <f t="shared" si="5"/>
        <v/>
      </c>
      <c r="N20" s="6" t="str">
        <f t="shared" si="6"/>
        <v/>
      </c>
      <c r="O20" s="6" t="str">
        <f t="shared" si="7"/>
        <v/>
      </c>
      <c r="P20" s="6" t="str">
        <f t="shared" si="8"/>
        <v/>
      </c>
      <c r="Q20" s="6" t="str">
        <f t="shared" si="9"/>
        <v/>
      </c>
    </row>
    <row r="21" spans="8:17" x14ac:dyDescent="0.3">
      <c r="M21" s="6" t="str">
        <f t="shared" si="5"/>
        <v/>
      </c>
      <c r="N21" s="6" t="str">
        <f t="shared" si="6"/>
        <v/>
      </c>
      <c r="O21" s="6" t="str">
        <f t="shared" si="7"/>
        <v/>
      </c>
      <c r="P21" s="6" t="str">
        <f t="shared" si="8"/>
        <v/>
      </c>
      <c r="Q21" s="6" t="str">
        <f t="shared" si="9"/>
        <v/>
      </c>
    </row>
    <row r="22" spans="8:17" x14ac:dyDescent="0.3">
      <c r="M22" s="6" t="str">
        <f t="shared" si="5"/>
        <v/>
      </c>
      <c r="N22" s="6" t="str">
        <f t="shared" si="6"/>
        <v/>
      </c>
      <c r="O22" s="6" t="str">
        <f t="shared" si="7"/>
        <v/>
      </c>
      <c r="P22" s="6" t="str">
        <f t="shared" si="8"/>
        <v/>
      </c>
      <c r="Q22" s="6" t="str">
        <f t="shared" si="9"/>
        <v/>
      </c>
    </row>
    <row r="23" spans="8:17" x14ac:dyDescent="0.3">
      <c r="M23" s="6" t="str">
        <f t="shared" si="5"/>
        <v/>
      </c>
      <c r="N23" s="6" t="str">
        <f t="shared" si="6"/>
        <v/>
      </c>
      <c r="O23" s="6" t="str">
        <f t="shared" si="7"/>
        <v/>
      </c>
      <c r="P23" s="6" t="str">
        <f t="shared" si="8"/>
        <v/>
      </c>
      <c r="Q23" s="6" t="str">
        <f t="shared" si="9"/>
        <v/>
      </c>
    </row>
    <row r="24" spans="8:17" x14ac:dyDescent="0.3">
      <c r="M24" s="6" t="str">
        <f t="shared" si="5"/>
        <v/>
      </c>
      <c r="N24" s="6" t="str">
        <f t="shared" si="6"/>
        <v/>
      </c>
      <c r="O24" s="6" t="str">
        <f t="shared" si="7"/>
        <v/>
      </c>
      <c r="P24" s="6" t="str">
        <f t="shared" si="8"/>
        <v/>
      </c>
      <c r="Q24" s="6" t="str">
        <f t="shared" si="9"/>
        <v/>
      </c>
    </row>
    <row r="25" spans="8:17" x14ac:dyDescent="0.3">
      <c r="M25" s="6" t="str">
        <f t="shared" si="5"/>
        <v/>
      </c>
      <c r="N25" s="6" t="str">
        <f t="shared" si="6"/>
        <v/>
      </c>
      <c r="O25" s="6" t="str">
        <f t="shared" si="7"/>
        <v/>
      </c>
      <c r="P25" s="6" t="str">
        <f t="shared" si="8"/>
        <v/>
      </c>
      <c r="Q25" s="6" t="str">
        <f t="shared" si="9"/>
        <v/>
      </c>
    </row>
    <row r="26" spans="8:17" x14ac:dyDescent="0.3">
      <c r="M26" s="6" t="str">
        <f t="shared" si="5"/>
        <v/>
      </c>
      <c r="N26" s="6" t="str">
        <f t="shared" si="6"/>
        <v/>
      </c>
      <c r="O26" s="6" t="str">
        <f t="shared" si="7"/>
        <v/>
      </c>
      <c r="P26" s="6" t="str">
        <f t="shared" si="8"/>
        <v/>
      </c>
      <c r="Q26" s="6" t="str">
        <f t="shared" si="9"/>
        <v/>
      </c>
    </row>
    <row r="27" spans="8:17" x14ac:dyDescent="0.3">
      <c r="M27" s="6" t="str">
        <f t="shared" si="5"/>
        <v/>
      </c>
      <c r="N27" s="6" t="str">
        <f t="shared" si="6"/>
        <v/>
      </c>
      <c r="O27" s="6" t="str">
        <f t="shared" si="7"/>
        <v/>
      </c>
      <c r="P27" s="6" t="str">
        <f t="shared" si="8"/>
        <v/>
      </c>
      <c r="Q27" s="6" t="str">
        <f t="shared" si="9"/>
        <v/>
      </c>
    </row>
    <row r="28" spans="8:17" x14ac:dyDescent="0.3">
      <c r="M28" s="6" t="str">
        <f t="shared" si="5"/>
        <v/>
      </c>
      <c r="N28" s="6" t="str">
        <f t="shared" si="6"/>
        <v/>
      </c>
      <c r="O28" s="6" t="str">
        <f t="shared" si="7"/>
        <v/>
      </c>
      <c r="P28" s="6" t="str">
        <f t="shared" si="8"/>
        <v/>
      </c>
      <c r="Q28" s="6" t="str">
        <f t="shared" si="9"/>
        <v/>
      </c>
    </row>
    <row r="29" spans="8:17" x14ac:dyDescent="0.3">
      <c r="M29" s="6" t="str">
        <f t="shared" si="5"/>
        <v/>
      </c>
      <c r="N29" s="6" t="str">
        <f t="shared" si="6"/>
        <v/>
      </c>
      <c r="O29" s="6" t="str">
        <f t="shared" si="7"/>
        <v/>
      </c>
      <c r="P29" s="6" t="str">
        <f t="shared" si="8"/>
        <v/>
      </c>
      <c r="Q29" s="6" t="str">
        <f t="shared" si="9"/>
        <v/>
      </c>
    </row>
    <row r="30" spans="8:17" x14ac:dyDescent="0.3">
      <c r="M30" s="6" t="str">
        <f t="shared" si="5"/>
        <v/>
      </c>
      <c r="N30" s="6" t="str">
        <f t="shared" si="6"/>
        <v/>
      </c>
      <c r="O30" s="6" t="str">
        <f t="shared" si="7"/>
        <v/>
      </c>
      <c r="P30" s="6" t="str">
        <f t="shared" si="8"/>
        <v/>
      </c>
      <c r="Q30" s="6" t="str">
        <f t="shared" si="9"/>
        <v/>
      </c>
    </row>
    <row r="31" spans="8:17" x14ac:dyDescent="0.3">
      <c r="M31" s="6" t="str">
        <f t="shared" si="5"/>
        <v/>
      </c>
      <c r="N31" s="6" t="str">
        <f t="shared" si="6"/>
        <v/>
      </c>
      <c r="O31" s="6" t="str">
        <f t="shared" si="7"/>
        <v/>
      </c>
      <c r="P31" s="6" t="str">
        <f t="shared" si="8"/>
        <v/>
      </c>
      <c r="Q31" s="6" t="str">
        <f t="shared" si="9"/>
        <v/>
      </c>
    </row>
    <row r="32" spans="8:17" x14ac:dyDescent="0.3">
      <c r="M32" s="6" t="str">
        <f t="shared" si="5"/>
        <v/>
      </c>
      <c r="N32" s="6" t="str">
        <f t="shared" si="6"/>
        <v/>
      </c>
      <c r="O32" s="6" t="str">
        <f t="shared" si="7"/>
        <v/>
      </c>
      <c r="P32" s="6" t="str">
        <f t="shared" si="8"/>
        <v/>
      </c>
      <c r="Q32" s="6" t="str">
        <f t="shared" si="9"/>
        <v/>
      </c>
    </row>
    <row r="33" spans="13:17" x14ac:dyDescent="0.3">
      <c r="M33" s="6" t="str">
        <f t="shared" si="5"/>
        <v/>
      </c>
      <c r="N33" s="6" t="str">
        <f t="shared" si="6"/>
        <v/>
      </c>
      <c r="O33" s="6" t="str">
        <f t="shared" si="7"/>
        <v/>
      </c>
      <c r="P33" s="6" t="str">
        <f t="shared" si="8"/>
        <v/>
      </c>
      <c r="Q33" s="6" t="str">
        <f t="shared" si="9"/>
        <v/>
      </c>
    </row>
    <row r="34" spans="13:17" x14ac:dyDescent="0.3">
      <c r="M34" s="6" t="str">
        <f t="shared" si="5"/>
        <v/>
      </c>
      <c r="N34" s="6" t="str">
        <f t="shared" si="6"/>
        <v/>
      </c>
      <c r="O34" s="6" t="str">
        <f t="shared" si="7"/>
        <v/>
      </c>
      <c r="P34" s="6" t="str">
        <f t="shared" si="8"/>
        <v/>
      </c>
      <c r="Q34" s="6" t="str">
        <f t="shared" si="9"/>
        <v/>
      </c>
    </row>
    <row r="35" spans="13:17" x14ac:dyDescent="0.3">
      <c r="M35" s="6" t="str">
        <f t="shared" si="5"/>
        <v/>
      </c>
      <c r="N35" s="6" t="str">
        <f t="shared" si="6"/>
        <v/>
      </c>
      <c r="O35" s="6" t="str">
        <f t="shared" si="7"/>
        <v/>
      </c>
      <c r="P35" s="6" t="str">
        <f t="shared" si="8"/>
        <v/>
      </c>
      <c r="Q35" s="6" t="str">
        <f t="shared" si="9"/>
        <v/>
      </c>
    </row>
    <row r="36" spans="13:17" x14ac:dyDescent="0.3">
      <c r="M36" s="6" t="str">
        <f t="shared" si="5"/>
        <v/>
      </c>
      <c r="N36" s="6" t="str">
        <f t="shared" si="6"/>
        <v/>
      </c>
      <c r="O36" s="6" t="str">
        <f t="shared" si="7"/>
        <v/>
      </c>
      <c r="P36" s="6" t="str">
        <f t="shared" si="8"/>
        <v/>
      </c>
      <c r="Q36" s="6" t="str">
        <f t="shared" si="9"/>
        <v/>
      </c>
    </row>
    <row r="37" spans="13:17" x14ac:dyDescent="0.3">
      <c r="M37" s="6" t="str">
        <f t="shared" si="5"/>
        <v/>
      </c>
      <c r="N37" s="6" t="str">
        <f t="shared" si="6"/>
        <v/>
      </c>
      <c r="O37" s="6" t="str">
        <f t="shared" si="7"/>
        <v/>
      </c>
      <c r="P37" s="6" t="str">
        <f t="shared" si="8"/>
        <v/>
      </c>
      <c r="Q37" s="6" t="str">
        <f t="shared" si="9"/>
        <v/>
      </c>
    </row>
    <row r="38" spans="13:17" x14ac:dyDescent="0.3">
      <c r="M38" s="6" t="str">
        <f t="shared" si="5"/>
        <v/>
      </c>
      <c r="N38" s="6" t="str">
        <f t="shared" si="6"/>
        <v/>
      </c>
      <c r="O38" s="6" t="str">
        <f t="shared" si="7"/>
        <v/>
      </c>
      <c r="P38" s="6" t="str">
        <f t="shared" si="8"/>
        <v/>
      </c>
      <c r="Q38" s="6" t="str">
        <f t="shared" si="9"/>
        <v/>
      </c>
    </row>
    <row r="39" spans="13:17" x14ac:dyDescent="0.3">
      <c r="M39" s="6" t="str">
        <f t="shared" si="5"/>
        <v/>
      </c>
      <c r="N39" s="6" t="str">
        <f t="shared" si="6"/>
        <v/>
      </c>
      <c r="O39" s="6" t="str">
        <f t="shared" si="7"/>
        <v/>
      </c>
      <c r="P39" s="6" t="str">
        <f t="shared" si="8"/>
        <v/>
      </c>
      <c r="Q39" s="6" t="str">
        <f t="shared" si="9"/>
        <v/>
      </c>
    </row>
    <row r="40" spans="13:17" x14ac:dyDescent="0.3">
      <c r="M40" s="6" t="str">
        <f t="shared" si="5"/>
        <v/>
      </c>
      <c r="N40" s="6" t="str">
        <f t="shared" si="6"/>
        <v/>
      </c>
      <c r="O40" s="6" t="str">
        <f t="shared" si="7"/>
        <v/>
      </c>
      <c r="P40" s="6" t="str">
        <f t="shared" si="8"/>
        <v/>
      </c>
      <c r="Q40" s="6" t="str">
        <f t="shared" si="9"/>
        <v/>
      </c>
    </row>
    <row r="41" spans="13:17" x14ac:dyDescent="0.3">
      <c r="M41" s="6" t="str">
        <f t="shared" si="5"/>
        <v/>
      </c>
      <c r="N41" s="6" t="str">
        <f t="shared" si="6"/>
        <v/>
      </c>
      <c r="O41" s="6" t="str">
        <f t="shared" si="7"/>
        <v/>
      </c>
      <c r="P41" s="6" t="str">
        <f t="shared" si="8"/>
        <v/>
      </c>
      <c r="Q41" s="6" t="str">
        <f t="shared" si="9"/>
        <v/>
      </c>
    </row>
    <row r="42" spans="13:17" x14ac:dyDescent="0.3">
      <c r="M42" s="6" t="str">
        <f t="shared" si="5"/>
        <v/>
      </c>
      <c r="N42" s="6" t="str">
        <f t="shared" si="6"/>
        <v/>
      </c>
      <c r="O42" s="6" t="str">
        <f t="shared" si="7"/>
        <v/>
      </c>
      <c r="P42" s="6" t="str">
        <f t="shared" si="8"/>
        <v/>
      </c>
      <c r="Q42" s="6" t="str">
        <f t="shared" si="9"/>
        <v/>
      </c>
    </row>
    <row r="43" spans="13:17" x14ac:dyDescent="0.3">
      <c r="M43" s="6" t="str">
        <f t="shared" si="5"/>
        <v/>
      </c>
      <c r="N43" s="6" t="str">
        <f t="shared" si="6"/>
        <v/>
      </c>
      <c r="O43" s="6" t="str">
        <f t="shared" si="7"/>
        <v/>
      </c>
      <c r="P43" s="6" t="str">
        <f t="shared" si="8"/>
        <v/>
      </c>
      <c r="Q43" s="6" t="str">
        <f t="shared" si="9"/>
        <v/>
      </c>
    </row>
    <row r="44" spans="13:17" x14ac:dyDescent="0.3">
      <c r="M44" s="6" t="str">
        <f t="shared" si="5"/>
        <v/>
      </c>
      <c r="N44" s="6" t="str">
        <f t="shared" si="6"/>
        <v/>
      </c>
      <c r="O44" s="6" t="str">
        <f t="shared" si="7"/>
        <v/>
      </c>
      <c r="P44" s="6" t="str">
        <f t="shared" si="8"/>
        <v/>
      </c>
      <c r="Q44" s="6" t="str">
        <f t="shared" si="9"/>
        <v/>
      </c>
    </row>
    <row r="45" spans="13:17" x14ac:dyDescent="0.3">
      <c r="M45" s="6" t="str">
        <f t="shared" si="5"/>
        <v/>
      </c>
      <c r="N45" s="6" t="str">
        <f t="shared" si="6"/>
        <v/>
      </c>
      <c r="O45" s="6" t="str">
        <f t="shared" si="7"/>
        <v/>
      </c>
      <c r="P45" s="6" t="str">
        <f t="shared" si="8"/>
        <v/>
      </c>
      <c r="Q45" s="6" t="str">
        <f t="shared" si="9"/>
        <v/>
      </c>
    </row>
    <row r="46" spans="13:17" x14ac:dyDescent="0.3">
      <c r="M46" s="6" t="str">
        <f t="shared" si="5"/>
        <v/>
      </c>
      <c r="N46" s="6" t="str">
        <f t="shared" si="6"/>
        <v/>
      </c>
      <c r="O46" s="6" t="str">
        <f t="shared" si="7"/>
        <v/>
      </c>
      <c r="P46" s="6" t="str">
        <f t="shared" si="8"/>
        <v/>
      </c>
      <c r="Q46" s="6" t="str">
        <f t="shared" si="9"/>
        <v/>
      </c>
    </row>
    <row r="47" spans="13:17" x14ac:dyDescent="0.3">
      <c r="M47" s="6" t="str">
        <f t="shared" si="5"/>
        <v/>
      </c>
      <c r="N47" s="6" t="str">
        <f t="shared" si="6"/>
        <v/>
      </c>
      <c r="O47" s="6" t="str">
        <f t="shared" si="7"/>
        <v/>
      </c>
      <c r="P47" s="6" t="str">
        <f t="shared" si="8"/>
        <v/>
      </c>
      <c r="Q47" s="6" t="str">
        <f t="shared" si="9"/>
        <v/>
      </c>
    </row>
    <row r="48" spans="13:17" x14ac:dyDescent="0.3">
      <c r="M48" s="6" t="str">
        <f t="shared" si="5"/>
        <v/>
      </c>
      <c r="N48" s="6" t="str">
        <f t="shared" si="6"/>
        <v/>
      </c>
      <c r="O48" s="6" t="str">
        <f t="shared" si="7"/>
        <v/>
      </c>
      <c r="P48" s="6" t="str">
        <f t="shared" si="8"/>
        <v/>
      </c>
      <c r="Q48" s="6" t="str">
        <f t="shared" si="9"/>
        <v/>
      </c>
    </row>
    <row r="49" spans="13:17" x14ac:dyDescent="0.3">
      <c r="M49" s="6" t="str">
        <f t="shared" si="5"/>
        <v/>
      </c>
      <c r="N49" s="6" t="str">
        <f t="shared" si="6"/>
        <v/>
      </c>
      <c r="O49" s="6" t="str">
        <f t="shared" si="7"/>
        <v/>
      </c>
      <c r="P49" s="6" t="str">
        <f t="shared" si="8"/>
        <v/>
      </c>
      <c r="Q49" s="6" t="str">
        <f t="shared" si="9"/>
        <v/>
      </c>
    </row>
    <row r="50" spans="13:17" x14ac:dyDescent="0.3">
      <c r="M50" s="6" t="str">
        <f t="shared" si="5"/>
        <v/>
      </c>
      <c r="N50" s="6" t="str">
        <f t="shared" si="6"/>
        <v/>
      </c>
      <c r="O50" s="6" t="str">
        <f t="shared" si="7"/>
        <v/>
      </c>
      <c r="P50" s="6" t="str">
        <f t="shared" si="8"/>
        <v/>
      </c>
      <c r="Q50" s="6" t="str">
        <f t="shared" si="9"/>
        <v/>
      </c>
    </row>
    <row r="51" spans="13:17" x14ac:dyDescent="0.3">
      <c r="M51" s="6" t="str">
        <f t="shared" si="5"/>
        <v/>
      </c>
      <c r="N51" s="6" t="str">
        <f t="shared" si="6"/>
        <v/>
      </c>
      <c r="O51" s="6" t="str">
        <f t="shared" si="7"/>
        <v/>
      </c>
      <c r="P51" s="6" t="str">
        <f t="shared" si="8"/>
        <v/>
      </c>
      <c r="Q51" s="6" t="str">
        <f t="shared" si="9"/>
        <v/>
      </c>
    </row>
    <row r="52" spans="13:17" x14ac:dyDescent="0.3">
      <c r="M52" s="6" t="str">
        <f t="shared" si="5"/>
        <v/>
      </c>
      <c r="N52" s="6" t="str">
        <f t="shared" si="6"/>
        <v/>
      </c>
      <c r="O52" s="6" t="str">
        <f t="shared" si="7"/>
        <v/>
      </c>
      <c r="P52" s="6" t="str">
        <f t="shared" si="8"/>
        <v/>
      </c>
      <c r="Q52" s="6" t="str">
        <f t="shared" si="9"/>
        <v/>
      </c>
    </row>
    <row r="53" spans="13:17" x14ac:dyDescent="0.3">
      <c r="M53" s="6" t="str">
        <f t="shared" si="5"/>
        <v/>
      </c>
      <c r="N53" s="6" t="str">
        <f t="shared" si="6"/>
        <v/>
      </c>
      <c r="O53" s="6" t="str">
        <f t="shared" si="7"/>
        <v/>
      </c>
      <c r="P53" s="6" t="str">
        <f t="shared" si="8"/>
        <v/>
      </c>
      <c r="Q53" s="6" t="str">
        <f t="shared" si="9"/>
        <v/>
      </c>
    </row>
    <row r="54" spans="13:17" x14ac:dyDescent="0.3">
      <c r="M54" s="6" t="str">
        <f t="shared" si="5"/>
        <v/>
      </c>
      <c r="N54" s="6" t="str">
        <f t="shared" si="6"/>
        <v/>
      </c>
      <c r="O54" s="6" t="str">
        <f t="shared" si="7"/>
        <v/>
      </c>
      <c r="P54" s="6" t="str">
        <f t="shared" si="8"/>
        <v/>
      </c>
      <c r="Q54" s="6" t="str">
        <f t="shared" si="9"/>
        <v/>
      </c>
    </row>
    <row r="55" spans="13:17" x14ac:dyDescent="0.3">
      <c r="M55" s="6" t="str">
        <f t="shared" si="5"/>
        <v/>
      </c>
      <c r="N55" s="6" t="str">
        <f t="shared" si="6"/>
        <v/>
      </c>
      <c r="O55" s="6" t="str">
        <f t="shared" si="7"/>
        <v/>
      </c>
      <c r="P55" s="6" t="str">
        <f t="shared" si="8"/>
        <v/>
      </c>
      <c r="Q55" s="6" t="str">
        <f t="shared" si="9"/>
        <v/>
      </c>
    </row>
    <row r="56" spans="13:17" x14ac:dyDescent="0.3">
      <c r="M56" s="6" t="str">
        <f t="shared" si="5"/>
        <v/>
      </c>
      <c r="N56" s="6" t="str">
        <f t="shared" si="6"/>
        <v/>
      </c>
      <c r="O56" s="6" t="str">
        <f t="shared" si="7"/>
        <v/>
      </c>
      <c r="P56" s="6" t="str">
        <f t="shared" si="8"/>
        <v/>
      </c>
      <c r="Q56" s="6" t="str">
        <f t="shared" si="9"/>
        <v/>
      </c>
    </row>
    <row r="57" spans="13:17" x14ac:dyDescent="0.3">
      <c r="M57" s="6" t="str">
        <f t="shared" si="5"/>
        <v/>
      </c>
      <c r="N57" s="6" t="str">
        <f t="shared" si="6"/>
        <v/>
      </c>
      <c r="O57" s="6" t="str">
        <f t="shared" si="7"/>
        <v/>
      </c>
      <c r="P57" s="6" t="str">
        <f t="shared" si="8"/>
        <v/>
      </c>
      <c r="Q57" s="6" t="str">
        <f t="shared" si="9"/>
        <v/>
      </c>
    </row>
    <row r="58" spans="13:17" x14ac:dyDescent="0.3">
      <c r="M58" s="6" t="str">
        <f t="shared" si="5"/>
        <v/>
      </c>
      <c r="N58" s="6" t="str">
        <f t="shared" si="6"/>
        <v/>
      </c>
      <c r="O58" s="6" t="str">
        <f t="shared" si="7"/>
        <v/>
      </c>
      <c r="P58" s="6" t="str">
        <f t="shared" si="8"/>
        <v/>
      </c>
      <c r="Q58" s="6" t="str">
        <f t="shared" si="9"/>
        <v/>
      </c>
    </row>
    <row r="59" spans="13:17" x14ac:dyDescent="0.3">
      <c r="M59" s="6" t="str">
        <f t="shared" si="5"/>
        <v/>
      </c>
      <c r="N59" s="6" t="str">
        <f t="shared" si="6"/>
        <v/>
      </c>
      <c r="O59" s="6" t="str">
        <f t="shared" si="7"/>
        <v/>
      </c>
      <c r="P59" s="6" t="str">
        <f t="shared" si="8"/>
        <v/>
      </c>
      <c r="Q59" s="6" t="str">
        <f t="shared" si="9"/>
        <v/>
      </c>
    </row>
    <row r="60" spans="13:17" x14ac:dyDescent="0.3">
      <c r="M60" s="6" t="str">
        <f t="shared" si="5"/>
        <v/>
      </c>
      <c r="N60" s="6" t="str">
        <f t="shared" si="6"/>
        <v/>
      </c>
      <c r="O60" s="6" t="str">
        <f t="shared" si="7"/>
        <v/>
      </c>
      <c r="P60" s="6" t="str">
        <f t="shared" si="8"/>
        <v/>
      </c>
      <c r="Q60" s="6" t="str">
        <f t="shared" si="9"/>
        <v/>
      </c>
    </row>
    <row r="61" spans="13:17" x14ac:dyDescent="0.3">
      <c r="M61" s="6" t="str">
        <f t="shared" si="5"/>
        <v/>
      </c>
      <c r="N61" s="6" t="str">
        <f t="shared" si="6"/>
        <v/>
      </c>
      <c r="O61" s="6" t="str">
        <f t="shared" si="7"/>
        <v/>
      </c>
      <c r="P61" s="6" t="str">
        <f t="shared" si="8"/>
        <v/>
      </c>
      <c r="Q61" s="6" t="str">
        <f t="shared" si="9"/>
        <v/>
      </c>
    </row>
    <row r="62" spans="13:17" x14ac:dyDescent="0.3">
      <c r="M62" s="6" t="str">
        <f t="shared" si="5"/>
        <v/>
      </c>
      <c r="N62" s="6" t="str">
        <f t="shared" si="6"/>
        <v/>
      </c>
      <c r="O62" s="6" t="str">
        <f t="shared" si="7"/>
        <v/>
      </c>
      <c r="P62" s="6" t="str">
        <f t="shared" si="8"/>
        <v/>
      </c>
      <c r="Q62" s="6" t="str">
        <f t="shared" si="9"/>
        <v/>
      </c>
    </row>
    <row r="63" spans="13:17" x14ac:dyDescent="0.3">
      <c r="M63" s="6" t="str">
        <f t="shared" si="5"/>
        <v/>
      </c>
      <c r="N63" s="6" t="str">
        <f t="shared" si="6"/>
        <v/>
      </c>
      <c r="O63" s="6" t="str">
        <f t="shared" si="7"/>
        <v/>
      </c>
      <c r="P63" s="6" t="str">
        <f t="shared" si="8"/>
        <v/>
      </c>
      <c r="Q63" s="6" t="str">
        <f t="shared" si="9"/>
        <v/>
      </c>
    </row>
    <row r="64" spans="13:17" x14ac:dyDescent="0.3">
      <c r="M64" s="6" t="str">
        <f t="shared" si="5"/>
        <v/>
      </c>
      <c r="N64" s="6" t="str">
        <f t="shared" si="6"/>
        <v/>
      </c>
      <c r="O64" s="6" t="str">
        <f t="shared" si="7"/>
        <v/>
      </c>
      <c r="P64" s="6" t="str">
        <f t="shared" si="8"/>
        <v/>
      </c>
      <c r="Q64" s="6" t="str">
        <f t="shared" si="9"/>
        <v/>
      </c>
    </row>
    <row r="65" spans="13:17" x14ac:dyDescent="0.3">
      <c r="M65" s="6" t="str">
        <f t="shared" si="5"/>
        <v/>
      </c>
      <c r="N65" s="6" t="str">
        <f t="shared" si="6"/>
        <v/>
      </c>
      <c r="O65" s="6" t="str">
        <f t="shared" si="7"/>
        <v/>
      </c>
      <c r="P65" s="6" t="str">
        <f t="shared" si="8"/>
        <v/>
      </c>
      <c r="Q65" s="6" t="str">
        <f t="shared" si="9"/>
        <v/>
      </c>
    </row>
    <row r="66" spans="13:17" x14ac:dyDescent="0.3">
      <c r="M66" s="6" t="str">
        <f t="shared" si="5"/>
        <v/>
      </c>
      <c r="N66" s="6" t="str">
        <f t="shared" si="6"/>
        <v/>
      </c>
      <c r="O66" s="6" t="str">
        <f t="shared" si="7"/>
        <v/>
      </c>
      <c r="P66" s="6" t="str">
        <f t="shared" si="8"/>
        <v/>
      </c>
      <c r="Q66" s="6" t="str">
        <f t="shared" si="9"/>
        <v/>
      </c>
    </row>
    <row r="67" spans="13:17" x14ac:dyDescent="0.3">
      <c r="M67" s="6" t="str">
        <f t="shared" si="5"/>
        <v/>
      </c>
      <c r="N67" s="6" t="str">
        <f t="shared" si="6"/>
        <v/>
      </c>
      <c r="O67" s="6" t="str">
        <f t="shared" si="7"/>
        <v/>
      </c>
      <c r="P67" s="6" t="str">
        <f t="shared" si="8"/>
        <v/>
      </c>
      <c r="Q67" s="6" t="str">
        <f t="shared" si="9"/>
        <v/>
      </c>
    </row>
    <row r="68" spans="13:17" x14ac:dyDescent="0.3">
      <c r="M68" s="6" t="str">
        <f t="shared" si="5"/>
        <v/>
      </c>
      <c r="N68" s="6" t="str">
        <f t="shared" si="6"/>
        <v/>
      </c>
      <c r="O68" s="6" t="str">
        <f t="shared" si="7"/>
        <v/>
      </c>
      <c r="P68" s="6" t="str">
        <f t="shared" si="8"/>
        <v/>
      </c>
      <c r="Q68" s="6" t="str">
        <f t="shared" si="9"/>
        <v/>
      </c>
    </row>
    <row r="69" spans="13:17" x14ac:dyDescent="0.3">
      <c r="M69" s="6" t="str">
        <f t="shared" si="5"/>
        <v/>
      </c>
      <c r="N69" s="6" t="str">
        <f t="shared" si="6"/>
        <v/>
      </c>
      <c r="O69" s="6" t="str">
        <f t="shared" si="7"/>
        <v/>
      </c>
      <c r="P69" s="6" t="str">
        <f t="shared" si="8"/>
        <v/>
      </c>
      <c r="Q69" s="6" t="str">
        <f t="shared" si="9"/>
        <v/>
      </c>
    </row>
    <row r="70" spans="13:17" x14ac:dyDescent="0.3">
      <c r="M70" s="6" t="str">
        <f t="shared" si="5"/>
        <v/>
      </c>
      <c r="N70" s="6" t="str">
        <f t="shared" si="6"/>
        <v/>
      </c>
      <c r="O70" s="6" t="str">
        <f t="shared" si="7"/>
        <v/>
      </c>
      <c r="P70" s="6" t="str">
        <f t="shared" si="8"/>
        <v/>
      </c>
      <c r="Q70" s="6" t="str">
        <f t="shared" si="9"/>
        <v/>
      </c>
    </row>
    <row r="71" spans="13:17" x14ac:dyDescent="0.3">
      <c r="M71" s="6" t="str">
        <f t="shared" si="5"/>
        <v/>
      </c>
      <c r="N71" s="6" t="str">
        <f t="shared" si="6"/>
        <v/>
      </c>
      <c r="O71" s="6" t="str">
        <f t="shared" si="7"/>
        <v/>
      </c>
      <c r="P71" s="6" t="str">
        <f t="shared" si="8"/>
        <v/>
      </c>
      <c r="Q71" s="6" t="str">
        <f t="shared" si="9"/>
        <v/>
      </c>
    </row>
    <row r="72" spans="13:17" x14ac:dyDescent="0.3">
      <c r="M72" s="6" t="str">
        <f t="shared" si="5"/>
        <v/>
      </c>
      <c r="N72" s="6" t="str">
        <f t="shared" si="6"/>
        <v/>
      </c>
      <c r="O72" s="6" t="str">
        <f t="shared" si="7"/>
        <v/>
      </c>
      <c r="P72" s="6" t="str">
        <f t="shared" si="8"/>
        <v/>
      </c>
      <c r="Q72" s="6" t="str">
        <f t="shared" si="9"/>
        <v/>
      </c>
    </row>
    <row r="73" spans="13:17" x14ac:dyDescent="0.3">
      <c r="M73" s="6" t="str">
        <f t="shared" si="5"/>
        <v/>
      </c>
      <c r="N73" s="6" t="str">
        <f t="shared" si="6"/>
        <v/>
      </c>
      <c r="O73" s="6" t="str">
        <f t="shared" si="7"/>
        <v/>
      </c>
      <c r="P73" s="6" t="str">
        <f t="shared" si="8"/>
        <v/>
      </c>
      <c r="Q73" s="6" t="str">
        <f t="shared" si="9"/>
        <v/>
      </c>
    </row>
    <row r="74" spans="13:17" x14ac:dyDescent="0.3">
      <c r="M74" s="6" t="str">
        <f t="shared" si="5"/>
        <v/>
      </c>
      <c r="N74" s="6" t="str">
        <f t="shared" si="6"/>
        <v/>
      </c>
      <c r="O74" s="6" t="str">
        <f t="shared" si="7"/>
        <v/>
      </c>
      <c r="P74" s="6" t="str">
        <f t="shared" si="8"/>
        <v/>
      </c>
      <c r="Q74" s="6" t="str">
        <f t="shared" si="9"/>
        <v/>
      </c>
    </row>
    <row r="75" spans="13:17" x14ac:dyDescent="0.3">
      <c r="M75" s="6" t="str">
        <f t="shared" si="5"/>
        <v/>
      </c>
      <c r="N75" s="6" t="str">
        <f t="shared" si="6"/>
        <v/>
      </c>
      <c r="O75" s="6" t="str">
        <f t="shared" si="7"/>
        <v/>
      </c>
      <c r="P75" s="6" t="str">
        <f t="shared" si="8"/>
        <v/>
      </c>
      <c r="Q75" s="6" t="str">
        <f t="shared" si="9"/>
        <v/>
      </c>
    </row>
    <row r="76" spans="13:17" x14ac:dyDescent="0.3">
      <c r="M76" s="6" t="str">
        <f t="shared" ref="M76:M100" si="10">IF(OR(I76="",F76=""),"",IF(OR(I76&lt;=0,F76&lt;=0),"",0.95*((I76^3)/F76)^0.385))</f>
        <v/>
      </c>
      <c r="N76" s="6" t="str">
        <f t="shared" ref="N76:N100" si="11">IF(OR(B76="",I76="",G76="",D76=""),"",IF(OR(B76&lt;=0,I76&lt;=0,G76&lt;=D76),"",(4*SQRT(B76)+1.5*I76)/(0.8*SQRT(G76-D76))))</f>
        <v/>
      </c>
      <c r="O76" s="6" t="str">
        <f t="shared" ref="O76:O100" si="12">IF(OR(I76="",C76="",H76=""),"",IF(OR(I76&lt;=0,H76&lt;=0,C76&lt;=0,C76&gt;100),"",((100*((I76*1000/0.3048)^0.8)*(((1000/C76)-9)^0.7))/(1900*SQRT(H76*100)))/60))</f>
        <v/>
      </c>
      <c r="P76" s="6" t="str">
        <f t="shared" ref="P76:P100" si="13">IF(OR(I76="",H76=""),"",IF(OR(I76&lt;=0,H76&lt;=0),"",(18*(I76^0.76)/(H76^0.19))/60))</f>
        <v/>
      </c>
      <c r="Q76" s="6" t="str">
        <f t="shared" ref="Q76:Q100" si="14">IF(OR(I76="",K76=""),"",IF(OR(I76&lt;=0,K76&lt;=0),"",I76/(3.6*K76)))</f>
        <v/>
      </c>
    </row>
    <row r="77" spans="13:17" x14ac:dyDescent="0.3">
      <c r="M77" s="6" t="str">
        <f t="shared" si="10"/>
        <v/>
      </c>
      <c r="N77" s="6" t="str">
        <f t="shared" si="11"/>
        <v/>
      </c>
      <c r="O77" s="6" t="str">
        <f t="shared" si="12"/>
        <v/>
      </c>
      <c r="P77" s="6" t="str">
        <f t="shared" si="13"/>
        <v/>
      </c>
      <c r="Q77" s="6" t="str">
        <f t="shared" si="14"/>
        <v/>
      </c>
    </row>
    <row r="78" spans="13:17" x14ac:dyDescent="0.3">
      <c r="M78" s="6" t="str">
        <f t="shared" si="10"/>
        <v/>
      </c>
      <c r="N78" s="6" t="str">
        <f t="shared" si="11"/>
        <v/>
      </c>
      <c r="O78" s="6" t="str">
        <f t="shared" si="12"/>
        <v/>
      </c>
      <c r="P78" s="6" t="str">
        <f t="shared" si="13"/>
        <v/>
      </c>
      <c r="Q78" s="6" t="str">
        <f t="shared" si="14"/>
        <v/>
      </c>
    </row>
    <row r="79" spans="13:17" x14ac:dyDescent="0.3">
      <c r="M79" s="6" t="str">
        <f t="shared" si="10"/>
        <v/>
      </c>
      <c r="N79" s="6" t="str">
        <f t="shared" si="11"/>
        <v/>
      </c>
      <c r="O79" s="6" t="str">
        <f t="shared" si="12"/>
        <v/>
      </c>
      <c r="P79" s="6" t="str">
        <f t="shared" si="13"/>
        <v/>
      </c>
      <c r="Q79" s="6" t="str">
        <f t="shared" si="14"/>
        <v/>
      </c>
    </row>
    <row r="80" spans="13:17" x14ac:dyDescent="0.3">
      <c r="M80" s="6" t="str">
        <f t="shared" si="10"/>
        <v/>
      </c>
      <c r="N80" s="6" t="str">
        <f t="shared" si="11"/>
        <v/>
      </c>
      <c r="O80" s="6" t="str">
        <f t="shared" si="12"/>
        <v/>
      </c>
      <c r="P80" s="6" t="str">
        <f t="shared" si="13"/>
        <v/>
      </c>
      <c r="Q80" s="6" t="str">
        <f t="shared" si="14"/>
        <v/>
      </c>
    </row>
    <row r="81" spans="13:17" x14ac:dyDescent="0.3">
      <c r="M81" s="6" t="str">
        <f t="shared" si="10"/>
        <v/>
      </c>
      <c r="N81" s="6" t="str">
        <f t="shared" si="11"/>
        <v/>
      </c>
      <c r="O81" s="6" t="str">
        <f t="shared" si="12"/>
        <v/>
      </c>
      <c r="P81" s="6" t="str">
        <f t="shared" si="13"/>
        <v/>
      </c>
      <c r="Q81" s="6" t="str">
        <f t="shared" si="14"/>
        <v/>
      </c>
    </row>
    <row r="82" spans="13:17" x14ac:dyDescent="0.3">
      <c r="M82" s="6" t="str">
        <f t="shared" si="10"/>
        <v/>
      </c>
      <c r="N82" s="6" t="str">
        <f t="shared" si="11"/>
        <v/>
      </c>
      <c r="O82" s="6" t="str">
        <f t="shared" si="12"/>
        <v/>
      </c>
      <c r="P82" s="6" t="str">
        <f t="shared" si="13"/>
        <v/>
      </c>
      <c r="Q82" s="6" t="str">
        <f t="shared" si="14"/>
        <v/>
      </c>
    </row>
    <row r="83" spans="13:17" x14ac:dyDescent="0.3">
      <c r="M83" s="6" t="str">
        <f t="shared" si="10"/>
        <v/>
      </c>
      <c r="N83" s="6" t="str">
        <f t="shared" si="11"/>
        <v/>
      </c>
      <c r="O83" s="6" t="str">
        <f t="shared" si="12"/>
        <v/>
      </c>
      <c r="P83" s="6" t="str">
        <f t="shared" si="13"/>
        <v/>
      </c>
      <c r="Q83" s="6" t="str">
        <f t="shared" si="14"/>
        <v/>
      </c>
    </row>
    <row r="84" spans="13:17" x14ac:dyDescent="0.3">
      <c r="M84" s="6" t="str">
        <f t="shared" si="10"/>
        <v/>
      </c>
      <c r="N84" s="6" t="str">
        <f t="shared" si="11"/>
        <v/>
      </c>
      <c r="O84" s="6" t="str">
        <f t="shared" si="12"/>
        <v/>
      </c>
      <c r="P84" s="6" t="str">
        <f t="shared" si="13"/>
        <v/>
      </c>
      <c r="Q84" s="6" t="str">
        <f t="shared" si="14"/>
        <v/>
      </c>
    </row>
    <row r="85" spans="13:17" x14ac:dyDescent="0.3">
      <c r="M85" s="6" t="str">
        <f t="shared" si="10"/>
        <v/>
      </c>
      <c r="N85" s="6" t="str">
        <f t="shared" si="11"/>
        <v/>
      </c>
      <c r="O85" s="6" t="str">
        <f t="shared" si="12"/>
        <v/>
      </c>
      <c r="P85" s="6" t="str">
        <f t="shared" si="13"/>
        <v/>
      </c>
      <c r="Q85" s="6" t="str">
        <f t="shared" si="14"/>
        <v/>
      </c>
    </row>
    <row r="86" spans="13:17" x14ac:dyDescent="0.3">
      <c r="M86" s="6" t="str">
        <f t="shared" si="10"/>
        <v/>
      </c>
      <c r="N86" s="6" t="str">
        <f t="shared" si="11"/>
        <v/>
      </c>
      <c r="O86" s="6" t="str">
        <f t="shared" si="12"/>
        <v/>
      </c>
      <c r="P86" s="6" t="str">
        <f t="shared" si="13"/>
        <v/>
      </c>
      <c r="Q86" s="6" t="str">
        <f t="shared" si="14"/>
        <v/>
      </c>
    </row>
    <row r="87" spans="13:17" x14ac:dyDescent="0.3">
      <c r="M87" s="6" t="str">
        <f t="shared" si="10"/>
        <v/>
      </c>
      <c r="N87" s="6" t="str">
        <f t="shared" si="11"/>
        <v/>
      </c>
      <c r="O87" s="6" t="str">
        <f t="shared" si="12"/>
        <v/>
      </c>
      <c r="P87" s="6" t="str">
        <f t="shared" si="13"/>
        <v/>
      </c>
      <c r="Q87" s="6" t="str">
        <f t="shared" si="14"/>
        <v/>
      </c>
    </row>
    <row r="88" spans="13:17" x14ac:dyDescent="0.3">
      <c r="M88" s="6" t="str">
        <f t="shared" si="10"/>
        <v/>
      </c>
      <c r="N88" s="6" t="str">
        <f t="shared" si="11"/>
        <v/>
      </c>
      <c r="O88" s="6" t="str">
        <f t="shared" si="12"/>
        <v/>
      </c>
      <c r="P88" s="6" t="str">
        <f t="shared" si="13"/>
        <v/>
      </c>
      <c r="Q88" s="6" t="str">
        <f t="shared" si="14"/>
        <v/>
      </c>
    </row>
    <row r="89" spans="13:17" x14ac:dyDescent="0.3">
      <c r="M89" s="6" t="str">
        <f t="shared" si="10"/>
        <v/>
      </c>
      <c r="N89" s="6" t="str">
        <f t="shared" si="11"/>
        <v/>
      </c>
      <c r="O89" s="6" t="str">
        <f t="shared" si="12"/>
        <v/>
      </c>
      <c r="P89" s="6" t="str">
        <f t="shared" si="13"/>
        <v/>
      </c>
      <c r="Q89" s="6" t="str">
        <f t="shared" si="14"/>
        <v/>
      </c>
    </row>
    <row r="90" spans="13:17" x14ac:dyDescent="0.3">
      <c r="M90" s="6" t="str">
        <f t="shared" si="10"/>
        <v/>
      </c>
      <c r="N90" s="6" t="str">
        <f t="shared" si="11"/>
        <v/>
      </c>
      <c r="O90" s="6" t="str">
        <f t="shared" si="12"/>
        <v/>
      </c>
      <c r="P90" s="6" t="str">
        <f t="shared" si="13"/>
        <v/>
      </c>
      <c r="Q90" s="6" t="str">
        <f t="shared" si="14"/>
        <v/>
      </c>
    </row>
    <row r="91" spans="13:17" x14ac:dyDescent="0.3">
      <c r="M91" s="6" t="str">
        <f t="shared" si="10"/>
        <v/>
      </c>
      <c r="N91" s="6" t="str">
        <f t="shared" si="11"/>
        <v/>
      </c>
      <c r="O91" s="6" t="str">
        <f t="shared" si="12"/>
        <v/>
      </c>
      <c r="P91" s="6" t="str">
        <f t="shared" si="13"/>
        <v/>
      </c>
      <c r="Q91" s="6" t="str">
        <f t="shared" si="14"/>
        <v/>
      </c>
    </row>
    <row r="92" spans="13:17" x14ac:dyDescent="0.3">
      <c r="M92" s="6" t="str">
        <f t="shared" si="10"/>
        <v/>
      </c>
      <c r="N92" s="6" t="str">
        <f t="shared" si="11"/>
        <v/>
      </c>
      <c r="O92" s="6" t="str">
        <f t="shared" si="12"/>
        <v/>
      </c>
      <c r="P92" s="6" t="str">
        <f t="shared" si="13"/>
        <v/>
      </c>
      <c r="Q92" s="6" t="str">
        <f t="shared" si="14"/>
        <v/>
      </c>
    </row>
    <row r="93" spans="13:17" x14ac:dyDescent="0.3">
      <c r="M93" s="6" t="str">
        <f t="shared" si="10"/>
        <v/>
      </c>
      <c r="N93" s="6" t="str">
        <f t="shared" si="11"/>
        <v/>
      </c>
      <c r="O93" s="6" t="str">
        <f t="shared" si="12"/>
        <v/>
      </c>
      <c r="P93" s="6" t="str">
        <f t="shared" si="13"/>
        <v/>
      </c>
      <c r="Q93" s="6" t="str">
        <f t="shared" si="14"/>
        <v/>
      </c>
    </row>
    <row r="94" spans="13:17" x14ac:dyDescent="0.3">
      <c r="M94" s="6" t="str">
        <f t="shared" si="10"/>
        <v/>
      </c>
      <c r="N94" s="6" t="str">
        <f t="shared" si="11"/>
        <v/>
      </c>
      <c r="O94" s="6" t="str">
        <f t="shared" si="12"/>
        <v/>
      </c>
      <c r="P94" s="6" t="str">
        <f t="shared" si="13"/>
        <v/>
      </c>
      <c r="Q94" s="6" t="str">
        <f t="shared" si="14"/>
        <v/>
      </c>
    </row>
    <row r="95" spans="13:17" x14ac:dyDescent="0.3">
      <c r="M95" s="6" t="str">
        <f t="shared" si="10"/>
        <v/>
      </c>
      <c r="N95" s="6" t="str">
        <f t="shared" si="11"/>
        <v/>
      </c>
      <c r="O95" s="6" t="str">
        <f t="shared" si="12"/>
        <v/>
      </c>
      <c r="P95" s="6" t="str">
        <f t="shared" si="13"/>
        <v/>
      </c>
      <c r="Q95" s="6" t="str">
        <f t="shared" si="14"/>
        <v/>
      </c>
    </row>
    <row r="96" spans="13:17" x14ac:dyDescent="0.3">
      <c r="M96" s="6" t="str">
        <f t="shared" si="10"/>
        <v/>
      </c>
      <c r="N96" s="6" t="str">
        <f t="shared" si="11"/>
        <v/>
      </c>
      <c r="O96" s="6" t="str">
        <f t="shared" si="12"/>
        <v/>
      </c>
      <c r="P96" s="6" t="str">
        <f t="shared" si="13"/>
        <v/>
      </c>
      <c r="Q96" s="6" t="str">
        <f t="shared" si="14"/>
        <v/>
      </c>
    </row>
    <row r="97" spans="13:17" x14ac:dyDescent="0.3">
      <c r="M97" s="6" t="str">
        <f t="shared" si="10"/>
        <v/>
      </c>
      <c r="N97" s="6" t="str">
        <f t="shared" si="11"/>
        <v/>
      </c>
      <c r="O97" s="6" t="str">
        <f t="shared" si="12"/>
        <v/>
      </c>
      <c r="P97" s="6" t="str">
        <f t="shared" si="13"/>
        <v/>
      </c>
      <c r="Q97" s="6" t="str">
        <f t="shared" si="14"/>
        <v/>
      </c>
    </row>
    <row r="98" spans="13:17" x14ac:dyDescent="0.3">
      <c r="M98" s="6" t="str">
        <f t="shared" si="10"/>
        <v/>
      </c>
      <c r="N98" s="6" t="str">
        <f t="shared" si="11"/>
        <v/>
      </c>
      <c r="O98" s="6" t="str">
        <f t="shared" si="12"/>
        <v/>
      </c>
      <c r="P98" s="6" t="str">
        <f t="shared" si="13"/>
        <v/>
      </c>
      <c r="Q98" s="6" t="str">
        <f t="shared" si="14"/>
        <v/>
      </c>
    </row>
    <row r="99" spans="13:17" x14ac:dyDescent="0.3">
      <c r="M99" s="6" t="str">
        <f t="shared" si="10"/>
        <v/>
      </c>
      <c r="N99" s="6" t="str">
        <f t="shared" si="11"/>
        <v/>
      </c>
      <c r="O99" s="6" t="str">
        <f t="shared" si="12"/>
        <v/>
      </c>
      <c r="P99" s="6" t="str">
        <f t="shared" si="13"/>
        <v/>
      </c>
      <c r="Q99" s="6" t="str">
        <f t="shared" si="14"/>
        <v/>
      </c>
    </row>
    <row r="100" spans="13:17" x14ac:dyDescent="0.3">
      <c r="M100" s="6" t="str">
        <f t="shared" si="10"/>
        <v/>
      </c>
      <c r="N100" s="6" t="str">
        <f t="shared" si="11"/>
        <v/>
      </c>
      <c r="O100" s="6" t="str">
        <f t="shared" si="12"/>
        <v/>
      </c>
      <c r="P100" s="6" t="str">
        <f t="shared" si="13"/>
        <v/>
      </c>
      <c r="Q100" s="6" t="str">
        <f t="shared" si="14"/>
        <v/>
      </c>
    </row>
    <row r="101" spans="13:17" x14ac:dyDescent="0.3">
      <c r="M101" s="6" t="str">
        <f t="shared" ref="M101:M139" si="15">IF(OR(I101="",F101=""),"",IF(OR(I101&lt;=0,F101&lt;=0),"",0.95*((I101^3)/F101)^0.385))</f>
        <v/>
      </c>
      <c r="N101" s="6" t="str">
        <f t="shared" ref="N101:N139" si="16">IF(OR(B101="",I101="",G101="",D101=""),"",IF(OR(B101&lt;=0,I101&lt;=0,G101&lt;=D101),"",(4*SQRT(B101)+1.5*I101)/(0.8*SQRT(G101-D101))))</f>
        <v/>
      </c>
      <c r="O101" s="6" t="str">
        <f t="shared" ref="O101:O139" si="17">IF(OR(I101="",C101="",H101=""),"",IF(OR(I101&lt;=0,H101&lt;=0,C101&lt;=0,C101&gt;100),"",((100*((I101*1000/0.3048)^0.8)*(((1000/C101)-9)^0.7))/(1900*SQRT(H101*100)))/60))</f>
        <v/>
      </c>
      <c r="P101" s="6" t="str">
        <f t="shared" ref="P101:P139" si="18">IF(OR(I101="",H101=""),"",IF(OR(I101&lt;=0,H101&lt;=0),"",(18*(I101^0.76)/(H101^0.19))/60))</f>
        <v/>
      </c>
      <c r="Q101" s="6" t="str">
        <f t="shared" ref="Q101:Q139" si="19">IF(OR(I101="",K101=""),"",IF(OR(I101&lt;=0,K101&lt;=0),"",I101/(3.6*K101)))</f>
        <v/>
      </c>
    </row>
    <row r="102" spans="13:17" x14ac:dyDescent="0.3">
      <c r="M102" s="6" t="str">
        <f t="shared" si="15"/>
        <v/>
      </c>
      <c r="N102" s="6" t="str">
        <f t="shared" si="16"/>
        <v/>
      </c>
      <c r="O102" s="6" t="str">
        <f t="shared" si="17"/>
        <v/>
      </c>
      <c r="P102" s="6" t="str">
        <f t="shared" si="18"/>
        <v/>
      </c>
      <c r="Q102" s="6" t="str">
        <f t="shared" si="19"/>
        <v/>
      </c>
    </row>
    <row r="103" spans="13:17" x14ac:dyDescent="0.3">
      <c r="M103" s="6" t="str">
        <f t="shared" si="15"/>
        <v/>
      </c>
      <c r="N103" s="6" t="str">
        <f t="shared" si="16"/>
        <v/>
      </c>
      <c r="O103" s="6" t="str">
        <f t="shared" si="17"/>
        <v/>
      </c>
      <c r="P103" s="6" t="str">
        <f t="shared" si="18"/>
        <v/>
      </c>
      <c r="Q103" s="6" t="str">
        <f t="shared" si="19"/>
        <v/>
      </c>
    </row>
    <row r="104" spans="13:17" x14ac:dyDescent="0.3">
      <c r="M104" s="6" t="str">
        <f t="shared" si="15"/>
        <v/>
      </c>
      <c r="N104" s="6" t="str">
        <f t="shared" si="16"/>
        <v/>
      </c>
      <c r="O104" s="6" t="str">
        <f t="shared" si="17"/>
        <v/>
      </c>
      <c r="P104" s="6" t="str">
        <f t="shared" si="18"/>
        <v/>
      </c>
      <c r="Q104" s="6" t="str">
        <f t="shared" si="19"/>
        <v/>
      </c>
    </row>
    <row r="105" spans="13:17" x14ac:dyDescent="0.3">
      <c r="M105" s="6" t="str">
        <f t="shared" si="15"/>
        <v/>
      </c>
      <c r="N105" s="6" t="str">
        <f t="shared" si="16"/>
        <v/>
      </c>
      <c r="O105" s="6" t="str">
        <f t="shared" si="17"/>
        <v/>
      </c>
      <c r="P105" s="6" t="str">
        <f t="shared" si="18"/>
        <v/>
      </c>
      <c r="Q105" s="6" t="str">
        <f t="shared" si="19"/>
        <v/>
      </c>
    </row>
    <row r="106" spans="13:17" x14ac:dyDescent="0.3">
      <c r="M106" s="6" t="str">
        <f t="shared" si="15"/>
        <v/>
      </c>
      <c r="N106" s="6" t="str">
        <f t="shared" si="16"/>
        <v/>
      </c>
      <c r="O106" s="6" t="str">
        <f t="shared" si="17"/>
        <v/>
      </c>
      <c r="P106" s="6" t="str">
        <f t="shared" si="18"/>
        <v/>
      </c>
      <c r="Q106" s="6" t="str">
        <f t="shared" si="19"/>
        <v/>
      </c>
    </row>
    <row r="107" spans="13:17" x14ac:dyDescent="0.3">
      <c r="M107" s="6" t="str">
        <f t="shared" si="15"/>
        <v/>
      </c>
      <c r="N107" s="6" t="str">
        <f t="shared" si="16"/>
        <v/>
      </c>
      <c r="O107" s="6" t="str">
        <f t="shared" si="17"/>
        <v/>
      </c>
      <c r="P107" s="6" t="str">
        <f t="shared" si="18"/>
        <v/>
      </c>
      <c r="Q107" s="6" t="str">
        <f t="shared" si="19"/>
        <v/>
      </c>
    </row>
    <row r="108" spans="13:17" x14ac:dyDescent="0.3">
      <c r="M108" s="6" t="str">
        <f t="shared" si="15"/>
        <v/>
      </c>
      <c r="N108" s="6" t="str">
        <f t="shared" si="16"/>
        <v/>
      </c>
      <c r="O108" s="6" t="str">
        <f t="shared" si="17"/>
        <v/>
      </c>
      <c r="P108" s="6" t="str">
        <f t="shared" si="18"/>
        <v/>
      </c>
      <c r="Q108" s="6" t="str">
        <f t="shared" si="19"/>
        <v/>
      </c>
    </row>
    <row r="109" spans="13:17" x14ac:dyDescent="0.3">
      <c r="M109" s="6" t="str">
        <f t="shared" si="15"/>
        <v/>
      </c>
      <c r="N109" s="6" t="str">
        <f t="shared" si="16"/>
        <v/>
      </c>
      <c r="O109" s="6" t="str">
        <f t="shared" si="17"/>
        <v/>
      </c>
      <c r="P109" s="6" t="str">
        <f t="shared" si="18"/>
        <v/>
      </c>
      <c r="Q109" s="6" t="str">
        <f t="shared" si="19"/>
        <v/>
      </c>
    </row>
    <row r="110" spans="13:17" x14ac:dyDescent="0.3">
      <c r="M110" s="6" t="str">
        <f t="shared" si="15"/>
        <v/>
      </c>
      <c r="N110" s="6" t="str">
        <f t="shared" si="16"/>
        <v/>
      </c>
      <c r="O110" s="6" t="str">
        <f t="shared" si="17"/>
        <v/>
      </c>
      <c r="P110" s="6" t="str">
        <f t="shared" si="18"/>
        <v/>
      </c>
      <c r="Q110" s="6" t="str">
        <f t="shared" si="19"/>
        <v/>
      </c>
    </row>
    <row r="111" spans="13:17" x14ac:dyDescent="0.3">
      <c r="M111" s="6" t="str">
        <f t="shared" si="15"/>
        <v/>
      </c>
      <c r="N111" s="6" t="str">
        <f t="shared" si="16"/>
        <v/>
      </c>
      <c r="O111" s="6" t="str">
        <f t="shared" si="17"/>
        <v/>
      </c>
      <c r="P111" s="6" t="str">
        <f t="shared" si="18"/>
        <v/>
      </c>
      <c r="Q111" s="6" t="str">
        <f t="shared" si="19"/>
        <v/>
      </c>
    </row>
    <row r="112" spans="13:17" x14ac:dyDescent="0.3">
      <c r="M112" s="6" t="str">
        <f t="shared" si="15"/>
        <v/>
      </c>
      <c r="N112" s="6" t="str">
        <f t="shared" si="16"/>
        <v/>
      </c>
      <c r="O112" s="6" t="str">
        <f t="shared" si="17"/>
        <v/>
      </c>
      <c r="P112" s="6" t="str">
        <f t="shared" si="18"/>
        <v/>
      </c>
      <c r="Q112" s="6" t="str">
        <f t="shared" si="19"/>
        <v/>
      </c>
    </row>
    <row r="113" spans="13:17" x14ac:dyDescent="0.3">
      <c r="M113" s="6" t="str">
        <f t="shared" si="15"/>
        <v/>
      </c>
      <c r="N113" s="6" t="str">
        <f t="shared" si="16"/>
        <v/>
      </c>
      <c r="O113" s="6" t="str">
        <f t="shared" si="17"/>
        <v/>
      </c>
      <c r="P113" s="6" t="str">
        <f t="shared" si="18"/>
        <v/>
      </c>
      <c r="Q113" s="6" t="str">
        <f t="shared" si="19"/>
        <v/>
      </c>
    </row>
    <row r="114" spans="13:17" x14ac:dyDescent="0.3">
      <c r="M114" s="6" t="str">
        <f t="shared" si="15"/>
        <v/>
      </c>
      <c r="N114" s="6" t="str">
        <f t="shared" si="16"/>
        <v/>
      </c>
      <c r="O114" s="6" t="str">
        <f t="shared" si="17"/>
        <v/>
      </c>
      <c r="P114" s="6" t="str">
        <f t="shared" si="18"/>
        <v/>
      </c>
      <c r="Q114" s="6" t="str">
        <f t="shared" si="19"/>
        <v/>
      </c>
    </row>
    <row r="115" spans="13:17" x14ac:dyDescent="0.3">
      <c r="M115" s="6" t="str">
        <f t="shared" si="15"/>
        <v/>
      </c>
      <c r="N115" s="6" t="str">
        <f t="shared" si="16"/>
        <v/>
      </c>
      <c r="O115" s="6" t="str">
        <f t="shared" si="17"/>
        <v/>
      </c>
      <c r="P115" s="6" t="str">
        <f t="shared" si="18"/>
        <v/>
      </c>
      <c r="Q115" s="6" t="str">
        <f t="shared" si="19"/>
        <v/>
      </c>
    </row>
    <row r="116" spans="13:17" x14ac:dyDescent="0.3">
      <c r="M116" s="6" t="str">
        <f t="shared" si="15"/>
        <v/>
      </c>
      <c r="N116" s="6" t="str">
        <f t="shared" si="16"/>
        <v/>
      </c>
      <c r="O116" s="6" t="str">
        <f t="shared" si="17"/>
        <v/>
      </c>
      <c r="P116" s="6" t="str">
        <f t="shared" si="18"/>
        <v/>
      </c>
      <c r="Q116" s="6" t="str">
        <f t="shared" si="19"/>
        <v/>
      </c>
    </row>
    <row r="117" spans="13:17" x14ac:dyDescent="0.3">
      <c r="M117" s="6" t="str">
        <f t="shared" si="15"/>
        <v/>
      </c>
      <c r="N117" s="6" t="str">
        <f t="shared" si="16"/>
        <v/>
      </c>
      <c r="O117" s="6" t="str">
        <f t="shared" si="17"/>
        <v/>
      </c>
      <c r="P117" s="6" t="str">
        <f t="shared" si="18"/>
        <v/>
      </c>
      <c r="Q117" s="6" t="str">
        <f t="shared" si="19"/>
        <v/>
      </c>
    </row>
    <row r="118" spans="13:17" x14ac:dyDescent="0.3">
      <c r="M118" s="6" t="str">
        <f t="shared" si="15"/>
        <v/>
      </c>
      <c r="N118" s="6" t="str">
        <f t="shared" si="16"/>
        <v/>
      </c>
      <c r="O118" s="6" t="str">
        <f t="shared" si="17"/>
        <v/>
      </c>
      <c r="P118" s="6" t="str">
        <f t="shared" si="18"/>
        <v/>
      </c>
      <c r="Q118" s="6" t="str">
        <f t="shared" si="19"/>
        <v/>
      </c>
    </row>
    <row r="119" spans="13:17" x14ac:dyDescent="0.3">
      <c r="M119" s="6" t="str">
        <f t="shared" si="15"/>
        <v/>
      </c>
      <c r="N119" s="6" t="str">
        <f t="shared" si="16"/>
        <v/>
      </c>
      <c r="O119" s="6" t="str">
        <f t="shared" si="17"/>
        <v/>
      </c>
      <c r="P119" s="6" t="str">
        <f t="shared" si="18"/>
        <v/>
      </c>
      <c r="Q119" s="6" t="str">
        <f t="shared" si="19"/>
        <v/>
      </c>
    </row>
    <row r="120" spans="13:17" x14ac:dyDescent="0.3">
      <c r="M120" s="6" t="str">
        <f t="shared" si="15"/>
        <v/>
      </c>
      <c r="N120" s="6" t="str">
        <f t="shared" si="16"/>
        <v/>
      </c>
      <c r="O120" s="6" t="str">
        <f t="shared" si="17"/>
        <v/>
      </c>
      <c r="P120" s="6" t="str">
        <f t="shared" si="18"/>
        <v/>
      </c>
      <c r="Q120" s="6" t="str">
        <f t="shared" si="19"/>
        <v/>
      </c>
    </row>
    <row r="121" spans="13:17" x14ac:dyDescent="0.3">
      <c r="M121" s="6" t="str">
        <f t="shared" si="15"/>
        <v/>
      </c>
      <c r="N121" s="6" t="str">
        <f t="shared" si="16"/>
        <v/>
      </c>
      <c r="O121" s="6" t="str">
        <f t="shared" si="17"/>
        <v/>
      </c>
      <c r="P121" s="6" t="str">
        <f t="shared" si="18"/>
        <v/>
      </c>
      <c r="Q121" s="6" t="str">
        <f t="shared" si="19"/>
        <v/>
      </c>
    </row>
    <row r="122" spans="13:17" x14ac:dyDescent="0.3">
      <c r="M122" s="6" t="str">
        <f t="shared" si="15"/>
        <v/>
      </c>
      <c r="N122" s="6" t="str">
        <f t="shared" si="16"/>
        <v/>
      </c>
      <c r="O122" s="6" t="str">
        <f t="shared" si="17"/>
        <v/>
      </c>
      <c r="P122" s="6" t="str">
        <f t="shared" si="18"/>
        <v/>
      </c>
      <c r="Q122" s="6" t="str">
        <f t="shared" si="19"/>
        <v/>
      </c>
    </row>
    <row r="123" spans="13:17" x14ac:dyDescent="0.3">
      <c r="M123" s="6" t="str">
        <f t="shared" si="15"/>
        <v/>
      </c>
      <c r="N123" s="6" t="str">
        <f t="shared" si="16"/>
        <v/>
      </c>
      <c r="O123" s="6" t="str">
        <f t="shared" si="17"/>
        <v/>
      </c>
      <c r="P123" s="6" t="str">
        <f t="shared" si="18"/>
        <v/>
      </c>
      <c r="Q123" s="6" t="str">
        <f t="shared" si="19"/>
        <v/>
      </c>
    </row>
    <row r="124" spans="13:17" x14ac:dyDescent="0.3">
      <c r="M124" s="6" t="str">
        <f t="shared" si="15"/>
        <v/>
      </c>
      <c r="N124" s="6" t="str">
        <f t="shared" si="16"/>
        <v/>
      </c>
      <c r="O124" s="6" t="str">
        <f t="shared" si="17"/>
        <v/>
      </c>
      <c r="P124" s="6" t="str">
        <f t="shared" si="18"/>
        <v/>
      </c>
      <c r="Q124" s="6" t="str">
        <f t="shared" si="19"/>
        <v/>
      </c>
    </row>
    <row r="125" spans="13:17" x14ac:dyDescent="0.3">
      <c r="M125" s="6" t="str">
        <f t="shared" si="15"/>
        <v/>
      </c>
      <c r="N125" s="6" t="str">
        <f t="shared" si="16"/>
        <v/>
      </c>
      <c r="O125" s="6" t="str">
        <f t="shared" si="17"/>
        <v/>
      </c>
      <c r="P125" s="6" t="str">
        <f t="shared" si="18"/>
        <v/>
      </c>
      <c r="Q125" s="6" t="str">
        <f t="shared" si="19"/>
        <v/>
      </c>
    </row>
    <row r="126" spans="13:17" x14ac:dyDescent="0.3">
      <c r="M126" s="6" t="str">
        <f t="shared" si="15"/>
        <v/>
      </c>
      <c r="N126" s="6" t="str">
        <f t="shared" si="16"/>
        <v/>
      </c>
      <c r="O126" s="6" t="str">
        <f t="shared" si="17"/>
        <v/>
      </c>
      <c r="P126" s="6" t="str">
        <f t="shared" si="18"/>
        <v/>
      </c>
      <c r="Q126" s="6" t="str">
        <f t="shared" si="19"/>
        <v/>
      </c>
    </row>
    <row r="127" spans="13:17" x14ac:dyDescent="0.3">
      <c r="M127" s="6" t="str">
        <f t="shared" si="15"/>
        <v/>
      </c>
      <c r="N127" s="6" t="str">
        <f t="shared" si="16"/>
        <v/>
      </c>
      <c r="O127" s="6" t="str">
        <f t="shared" si="17"/>
        <v/>
      </c>
      <c r="P127" s="6" t="str">
        <f t="shared" si="18"/>
        <v/>
      </c>
      <c r="Q127" s="6" t="str">
        <f t="shared" si="19"/>
        <v/>
      </c>
    </row>
    <row r="128" spans="13:17" x14ac:dyDescent="0.3">
      <c r="M128" s="6" t="str">
        <f t="shared" si="15"/>
        <v/>
      </c>
      <c r="N128" s="6" t="str">
        <f t="shared" si="16"/>
        <v/>
      </c>
      <c r="O128" s="6" t="str">
        <f t="shared" si="17"/>
        <v/>
      </c>
      <c r="P128" s="6" t="str">
        <f t="shared" si="18"/>
        <v/>
      </c>
      <c r="Q128" s="6" t="str">
        <f t="shared" si="19"/>
        <v/>
      </c>
    </row>
    <row r="129" spans="13:17" x14ac:dyDescent="0.3">
      <c r="M129" s="6" t="str">
        <f t="shared" si="15"/>
        <v/>
      </c>
      <c r="N129" s="6" t="str">
        <f t="shared" si="16"/>
        <v/>
      </c>
      <c r="O129" s="6" t="str">
        <f t="shared" si="17"/>
        <v/>
      </c>
      <c r="P129" s="6" t="str">
        <f t="shared" si="18"/>
        <v/>
      </c>
      <c r="Q129" s="6" t="str">
        <f t="shared" si="19"/>
        <v/>
      </c>
    </row>
    <row r="130" spans="13:17" x14ac:dyDescent="0.3">
      <c r="M130" s="6" t="str">
        <f t="shared" si="15"/>
        <v/>
      </c>
      <c r="N130" s="6" t="str">
        <f t="shared" si="16"/>
        <v/>
      </c>
      <c r="O130" s="6" t="str">
        <f t="shared" si="17"/>
        <v/>
      </c>
      <c r="P130" s="6" t="str">
        <f t="shared" si="18"/>
        <v/>
      </c>
      <c r="Q130" s="6" t="str">
        <f t="shared" si="19"/>
        <v/>
      </c>
    </row>
    <row r="131" spans="13:17" x14ac:dyDescent="0.3">
      <c r="M131" s="6" t="str">
        <f t="shared" si="15"/>
        <v/>
      </c>
      <c r="N131" s="6" t="str">
        <f t="shared" si="16"/>
        <v/>
      </c>
      <c r="O131" s="6" t="str">
        <f t="shared" si="17"/>
        <v/>
      </c>
      <c r="P131" s="6" t="str">
        <f t="shared" si="18"/>
        <v/>
      </c>
      <c r="Q131" s="6" t="str">
        <f t="shared" si="19"/>
        <v/>
      </c>
    </row>
    <row r="132" spans="13:17" x14ac:dyDescent="0.3">
      <c r="M132" s="6" t="str">
        <f t="shared" si="15"/>
        <v/>
      </c>
      <c r="N132" s="6" t="str">
        <f t="shared" si="16"/>
        <v/>
      </c>
      <c r="O132" s="6" t="str">
        <f t="shared" si="17"/>
        <v/>
      </c>
      <c r="P132" s="6" t="str">
        <f t="shared" si="18"/>
        <v/>
      </c>
      <c r="Q132" s="6" t="str">
        <f t="shared" si="19"/>
        <v/>
      </c>
    </row>
    <row r="133" spans="13:17" x14ac:dyDescent="0.3">
      <c r="M133" s="6" t="str">
        <f t="shared" si="15"/>
        <v/>
      </c>
      <c r="N133" s="6" t="str">
        <f t="shared" si="16"/>
        <v/>
      </c>
      <c r="O133" s="6" t="str">
        <f t="shared" si="17"/>
        <v/>
      </c>
      <c r="P133" s="6" t="str">
        <f t="shared" si="18"/>
        <v/>
      </c>
      <c r="Q133" s="6" t="str">
        <f t="shared" si="19"/>
        <v/>
      </c>
    </row>
    <row r="134" spans="13:17" x14ac:dyDescent="0.3">
      <c r="M134" s="6" t="str">
        <f t="shared" si="15"/>
        <v/>
      </c>
      <c r="N134" s="6" t="str">
        <f t="shared" si="16"/>
        <v/>
      </c>
      <c r="O134" s="6" t="str">
        <f t="shared" si="17"/>
        <v/>
      </c>
      <c r="P134" s="6" t="str">
        <f t="shared" si="18"/>
        <v/>
      </c>
      <c r="Q134" s="6" t="str">
        <f t="shared" si="19"/>
        <v/>
      </c>
    </row>
    <row r="135" spans="13:17" x14ac:dyDescent="0.3">
      <c r="M135" s="6" t="str">
        <f t="shared" si="15"/>
        <v/>
      </c>
      <c r="N135" s="6" t="str">
        <f t="shared" si="16"/>
        <v/>
      </c>
      <c r="O135" s="6" t="str">
        <f t="shared" si="17"/>
        <v/>
      </c>
      <c r="P135" s="6" t="str">
        <f t="shared" si="18"/>
        <v/>
      </c>
      <c r="Q135" s="6" t="str">
        <f t="shared" si="19"/>
        <v/>
      </c>
    </row>
    <row r="136" spans="13:17" x14ac:dyDescent="0.3">
      <c r="M136" s="6" t="str">
        <f t="shared" si="15"/>
        <v/>
      </c>
      <c r="N136" s="6" t="str">
        <f t="shared" si="16"/>
        <v/>
      </c>
      <c r="O136" s="6" t="str">
        <f t="shared" si="17"/>
        <v/>
      </c>
      <c r="P136" s="6" t="str">
        <f t="shared" si="18"/>
        <v/>
      </c>
      <c r="Q136" s="6" t="str">
        <f t="shared" si="19"/>
        <v/>
      </c>
    </row>
    <row r="137" spans="13:17" x14ac:dyDescent="0.3">
      <c r="M137" s="6" t="str">
        <f t="shared" si="15"/>
        <v/>
      </c>
      <c r="N137" s="6" t="str">
        <f t="shared" si="16"/>
        <v/>
      </c>
      <c r="O137" s="6" t="str">
        <f t="shared" si="17"/>
        <v/>
      </c>
      <c r="P137" s="6" t="str">
        <f t="shared" si="18"/>
        <v/>
      </c>
      <c r="Q137" s="6" t="str">
        <f t="shared" si="19"/>
        <v/>
      </c>
    </row>
    <row r="138" spans="13:17" x14ac:dyDescent="0.3">
      <c r="M138" s="6" t="str">
        <f t="shared" si="15"/>
        <v/>
      </c>
      <c r="N138" s="6" t="str">
        <f t="shared" si="16"/>
        <v/>
      </c>
      <c r="O138" s="6" t="str">
        <f t="shared" si="17"/>
        <v/>
      </c>
      <c r="P138" s="6" t="str">
        <f t="shared" si="18"/>
        <v/>
      </c>
      <c r="Q138" s="6" t="str">
        <f t="shared" si="19"/>
        <v/>
      </c>
    </row>
    <row r="139" spans="13:17" x14ac:dyDescent="0.3">
      <c r="M139" s="6" t="str">
        <f t="shared" si="15"/>
        <v/>
      </c>
      <c r="N139" s="6" t="str">
        <f t="shared" si="16"/>
        <v/>
      </c>
      <c r="O139" s="6" t="str">
        <f t="shared" si="17"/>
        <v/>
      </c>
      <c r="P139" s="6" t="str">
        <f t="shared" si="18"/>
        <v/>
      </c>
      <c r="Q139" s="6" t="str">
        <f t="shared" si="19"/>
        <v/>
      </c>
    </row>
    <row r="140" spans="13:17" x14ac:dyDescent="0.3">
      <c r="M140" s="6" t="str">
        <f t="shared" ref="M140:M203" si="20">IF(OR(I140="",F140=""),"",IF(OR(I140&lt;=0,F140&lt;=0),"",0.95*((I140^3)/F140)^0.385))</f>
        <v/>
      </c>
      <c r="N140" s="6" t="str">
        <f t="shared" ref="N140:N203" si="21">IF(OR(B140="",I140="",G140="",D140=""),"",IF(OR(B140&lt;=0,I140&lt;=0,G140&lt;=D140),"",(4*SQRT(B140)+1.5*I140)/(0.8*SQRT(G140-D140))))</f>
        <v/>
      </c>
      <c r="O140" s="6" t="str">
        <f t="shared" ref="O140:O203" si="22">IF(OR(I140="",C140="",H140=""),"",IF(OR(I140&lt;=0,H140&lt;=0,C140&lt;=0,C140&gt;100),"",((100*((I140*1000/0.3048)^0.8)*(((1000/C140)-9)^0.7))/(1900*SQRT(H140*100)))/60))</f>
        <v/>
      </c>
      <c r="P140" s="6" t="str">
        <f t="shared" ref="P140:P203" si="23">IF(OR(I140="",H140=""),"",IF(OR(I140&lt;=0,H140&lt;=0),"",(18*(I140^0.76)/(H140^0.19))/60))</f>
        <v/>
      </c>
      <c r="Q140" s="6" t="str">
        <f t="shared" ref="Q140:Q203" si="24">IF(OR(I140="",K140=""),"",IF(OR(I140&lt;=0,K140&lt;=0),"",I140/(3.6*K140)))</f>
        <v/>
      </c>
    </row>
    <row r="141" spans="13:17" x14ac:dyDescent="0.3">
      <c r="M141" s="6" t="str">
        <f t="shared" si="20"/>
        <v/>
      </c>
      <c r="N141" s="6" t="str">
        <f t="shared" si="21"/>
        <v/>
      </c>
      <c r="O141" s="6" t="str">
        <f t="shared" si="22"/>
        <v/>
      </c>
      <c r="P141" s="6" t="str">
        <f t="shared" si="23"/>
        <v/>
      </c>
      <c r="Q141" s="6" t="str">
        <f t="shared" si="24"/>
        <v/>
      </c>
    </row>
    <row r="142" spans="13:17" x14ac:dyDescent="0.3">
      <c r="M142" s="6" t="str">
        <f t="shared" si="20"/>
        <v/>
      </c>
      <c r="N142" s="6" t="str">
        <f t="shared" si="21"/>
        <v/>
      </c>
      <c r="O142" s="6" t="str">
        <f t="shared" si="22"/>
        <v/>
      </c>
      <c r="P142" s="6" t="str">
        <f t="shared" si="23"/>
        <v/>
      </c>
      <c r="Q142" s="6" t="str">
        <f t="shared" si="24"/>
        <v/>
      </c>
    </row>
    <row r="143" spans="13:17" x14ac:dyDescent="0.3">
      <c r="M143" s="6" t="str">
        <f t="shared" si="20"/>
        <v/>
      </c>
      <c r="N143" s="6" t="str">
        <f t="shared" si="21"/>
        <v/>
      </c>
      <c r="O143" s="6" t="str">
        <f t="shared" si="22"/>
        <v/>
      </c>
      <c r="P143" s="6" t="str">
        <f t="shared" si="23"/>
        <v/>
      </c>
      <c r="Q143" s="6" t="str">
        <f t="shared" si="24"/>
        <v/>
      </c>
    </row>
    <row r="144" spans="13:17" x14ac:dyDescent="0.3">
      <c r="M144" s="6" t="str">
        <f t="shared" si="20"/>
        <v/>
      </c>
      <c r="N144" s="6" t="str">
        <f t="shared" si="21"/>
        <v/>
      </c>
      <c r="O144" s="6" t="str">
        <f t="shared" si="22"/>
        <v/>
      </c>
      <c r="P144" s="6" t="str">
        <f t="shared" si="23"/>
        <v/>
      </c>
      <c r="Q144" s="6" t="str">
        <f t="shared" si="24"/>
        <v/>
      </c>
    </row>
    <row r="145" spans="13:17" x14ac:dyDescent="0.3">
      <c r="M145" s="6" t="str">
        <f t="shared" si="20"/>
        <v/>
      </c>
      <c r="N145" s="6" t="str">
        <f t="shared" si="21"/>
        <v/>
      </c>
      <c r="O145" s="6" t="str">
        <f t="shared" si="22"/>
        <v/>
      </c>
      <c r="P145" s="6" t="str">
        <f t="shared" si="23"/>
        <v/>
      </c>
      <c r="Q145" s="6" t="str">
        <f t="shared" si="24"/>
        <v/>
      </c>
    </row>
    <row r="146" spans="13:17" x14ac:dyDescent="0.3">
      <c r="M146" s="6" t="str">
        <f t="shared" si="20"/>
        <v/>
      </c>
      <c r="N146" s="6" t="str">
        <f t="shared" si="21"/>
        <v/>
      </c>
      <c r="O146" s="6" t="str">
        <f t="shared" si="22"/>
        <v/>
      </c>
      <c r="P146" s="6" t="str">
        <f t="shared" si="23"/>
        <v/>
      </c>
      <c r="Q146" s="6" t="str">
        <f t="shared" si="24"/>
        <v/>
      </c>
    </row>
    <row r="147" spans="13:17" x14ac:dyDescent="0.3">
      <c r="M147" s="6" t="str">
        <f t="shared" si="20"/>
        <v/>
      </c>
      <c r="N147" s="6" t="str">
        <f t="shared" si="21"/>
        <v/>
      </c>
      <c r="O147" s="6" t="str">
        <f t="shared" si="22"/>
        <v/>
      </c>
      <c r="P147" s="6" t="str">
        <f t="shared" si="23"/>
        <v/>
      </c>
      <c r="Q147" s="6" t="str">
        <f t="shared" si="24"/>
        <v/>
      </c>
    </row>
    <row r="148" spans="13:17" x14ac:dyDescent="0.3">
      <c r="M148" s="6" t="str">
        <f t="shared" si="20"/>
        <v/>
      </c>
      <c r="N148" s="6" t="str">
        <f t="shared" si="21"/>
        <v/>
      </c>
      <c r="O148" s="6" t="str">
        <f t="shared" si="22"/>
        <v/>
      </c>
      <c r="P148" s="6" t="str">
        <f t="shared" si="23"/>
        <v/>
      </c>
      <c r="Q148" s="6" t="str">
        <f t="shared" si="24"/>
        <v/>
      </c>
    </row>
    <row r="149" spans="13:17" x14ac:dyDescent="0.3">
      <c r="M149" s="6" t="str">
        <f t="shared" si="20"/>
        <v/>
      </c>
      <c r="N149" s="6" t="str">
        <f t="shared" si="21"/>
        <v/>
      </c>
      <c r="O149" s="6" t="str">
        <f t="shared" si="22"/>
        <v/>
      </c>
      <c r="P149" s="6" t="str">
        <f t="shared" si="23"/>
        <v/>
      </c>
      <c r="Q149" s="6" t="str">
        <f t="shared" si="24"/>
        <v/>
      </c>
    </row>
    <row r="150" spans="13:17" x14ac:dyDescent="0.3">
      <c r="M150" s="6" t="str">
        <f t="shared" si="20"/>
        <v/>
      </c>
      <c r="N150" s="6" t="str">
        <f t="shared" si="21"/>
        <v/>
      </c>
      <c r="O150" s="6" t="str">
        <f t="shared" si="22"/>
        <v/>
      </c>
      <c r="P150" s="6" t="str">
        <f t="shared" si="23"/>
        <v/>
      </c>
      <c r="Q150" s="6" t="str">
        <f t="shared" si="24"/>
        <v/>
      </c>
    </row>
    <row r="151" spans="13:17" x14ac:dyDescent="0.3">
      <c r="M151" s="6" t="str">
        <f t="shared" si="20"/>
        <v/>
      </c>
      <c r="N151" s="6" t="str">
        <f t="shared" si="21"/>
        <v/>
      </c>
      <c r="O151" s="6" t="str">
        <f t="shared" si="22"/>
        <v/>
      </c>
      <c r="P151" s="6" t="str">
        <f t="shared" si="23"/>
        <v/>
      </c>
      <c r="Q151" s="6" t="str">
        <f t="shared" si="24"/>
        <v/>
      </c>
    </row>
    <row r="152" spans="13:17" x14ac:dyDescent="0.3">
      <c r="M152" s="6" t="str">
        <f t="shared" si="20"/>
        <v/>
      </c>
      <c r="N152" s="6" t="str">
        <f t="shared" si="21"/>
        <v/>
      </c>
      <c r="O152" s="6" t="str">
        <f t="shared" si="22"/>
        <v/>
      </c>
      <c r="P152" s="6" t="str">
        <f t="shared" si="23"/>
        <v/>
      </c>
      <c r="Q152" s="6" t="str">
        <f t="shared" si="24"/>
        <v/>
      </c>
    </row>
    <row r="153" spans="13:17" x14ac:dyDescent="0.3">
      <c r="M153" s="6" t="str">
        <f t="shared" si="20"/>
        <v/>
      </c>
      <c r="N153" s="6" t="str">
        <f t="shared" si="21"/>
        <v/>
      </c>
      <c r="O153" s="6" t="str">
        <f t="shared" si="22"/>
        <v/>
      </c>
      <c r="P153" s="6" t="str">
        <f t="shared" si="23"/>
        <v/>
      </c>
      <c r="Q153" s="6" t="str">
        <f t="shared" si="24"/>
        <v/>
      </c>
    </row>
    <row r="154" spans="13:17" x14ac:dyDescent="0.3">
      <c r="M154" s="6" t="str">
        <f t="shared" si="20"/>
        <v/>
      </c>
      <c r="N154" s="6" t="str">
        <f t="shared" si="21"/>
        <v/>
      </c>
      <c r="O154" s="6" t="str">
        <f t="shared" si="22"/>
        <v/>
      </c>
      <c r="P154" s="6" t="str">
        <f t="shared" si="23"/>
        <v/>
      </c>
      <c r="Q154" s="6" t="str">
        <f t="shared" si="24"/>
        <v/>
      </c>
    </row>
    <row r="155" spans="13:17" x14ac:dyDescent="0.3">
      <c r="M155" s="6" t="str">
        <f t="shared" si="20"/>
        <v/>
      </c>
      <c r="N155" s="6" t="str">
        <f t="shared" si="21"/>
        <v/>
      </c>
      <c r="O155" s="6" t="str">
        <f t="shared" si="22"/>
        <v/>
      </c>
      <c r="P155" s="6" t="str">
        <f t="shared" si="23"/>
        <v/>
      </c>
      <c r="Q155" s="6" t="str">
        <f t="shared" si="24"/>
        <v/>
      </c>
    </row>
    <row r="156" spans="13:17" x14ac:dyDescent="0.3">
      <c r="M156" s="6" t="str">
        <f t="shared" si="20"/>
        <v/>
      </c>
      <c r="N156" s="6" t="str">
        <f t="shared" si="21"/>
        <v/>
      </c>
      <c r="O156" s="6" t="str">
        <f t="shared" si="22"/>
        <v/>
      </c>
      <c r="P156" s="6" t="str">
        <f t="shared" si="23"/>
        <v/>
      </c>
      <c r="Q156" s="6" t="str">
        <f t="shared" si="24"/>
        <v/>
      </c>
    </row>
    <row r="157" spans="13:17" x14ac:dyDescent="0.3">
      <c r="M157" s="6" t="str">
        <f t="shared" si="20"/>
        <v/>
      </c>
      <c r="N157" s="6" t="str">
        <f t="shared" si="21"/>
        <v/>
      </c>
      <c r="O157" s="6" t="str">
        <f t="shared" si="22"/>
        <v/>
      </c>
      <c r="P157" s="6" t="str">
        <f t="shared" si="23"/>
        <v/>
      </c>
      <c r="Q157" s="6" t="str">
        <f t="shared" si="24"/>
        <v/>
      </c>
    </row>
    <row r="158" spans="13:17" x14ac:dyDescent="0.3">
      <c r="M158" s="6" t="str">
        <f t="shared" si="20"/>
        <v/>
      </c>
      <c r="N158" s="6" t="str">
        <f t="shared" si="21"/>
        <v/>
      </c>
      <c r="O158" s="6" t="str">
        <f t="shared" si="22"/>
        <v/>
      </c>
      <c r="P158" s="6" t="str">
        <f t="shared" si="23"/>
        <v/>
      </c>
      <c r="Q158" s="6" t="str">
        <f t="shared" si="24"/>
        <v/>
      </c>
    </row>
    <row r="159" spans="13:17" x14ac:dyDescent="0.3">
      <c r="M159" s="6" t="str">
        <f t="shared" si="20"/>
        <v/>
      </c>
      <c r="N159" s="6" t="str">
        <f t="shared" si="21"/>
        <v/>
      </c>
      <c r="O159" s="6" t="str">
        <f t="shared" si="22"/>
        <v/>
      </c>
      <c r="P159" s="6" t="str">
        <f t="shared" si="23"/>
        <v/>
      </c>
      <c r="Q159" s="6" t="str">
        <f t="shared" si="24"/>
        <v/>
      </c>
    </row>
    <row r="160" spans="13:17" x14ac:dyDescent="0.3">
      <c r="M160" s="6" t="str">
        <f t="shared" si="20"/>
        <v/>
      </c>
      <c r="N160" s="6" t="str">
        <f t="shared" si="21"/>
        <v/>
      </c>
      <c r="O160" s="6" t="str">
        <f t="shared" si="22"/>
        <v/>
      </c>
      <c r="P160" s="6" t="str">
        <f t="shared" si="23"/>
        <v/>
      </c>
      <c r="Q160" s="6" t="str">
        <f t="shared" si="24"/>
        <v/>
      </c>
    </row>
    <row r="161" spans="13:17" x14ac:dyDescent="0.3">
      <c r="M161" s="6" t="str">
        <f t="shared" si="20"/>
        <v/>
      </c>
      <c r="N161" s="6" t="str">
        <f t="shared" si="21"/>
        <v/>
      </c>
      <c r="O161" s="6" t="str">
        <f t="shared" si="22"/>
        <v/>
      </c>
      <c r="P161" s="6" t="str">
        <f t="shared" si="23"/>
        <v/>
      </c>
      <c r="Q161" s="6" t="str">
        <f t="shared" si="24"/>
        <v/>
      </c>
    </row>
    <row r="162" spans="13:17" x14ac:dyDescent="0.3">
      <c r="M162" s="6" t="str">
        <f t="shared" si="20"/>
        <v/>
      </c>
      <c r="N162" s="6" t="str">
        <f t="shared" si="21"/>
        <v/>
      </c>
      <c r="O162" s="6" t="str">
        <f t="shared" si="22"/>
        <v/>
      </c>
      <c r="P162" s="6" t="str">
        <f t="shared" si="23"/>
        <v/>
      </c>
      <c r="Q162" s="6" t="str">
        <f t="shared" si="24"/>
        <v/>
      </c>
    </row>
    <row r="163" spans="13:17" x14ac:dyDescent="0.3">
      <c r="M163" s="6" t="str">
        <f t="shared" si="20"/>
        <v/>
      </c>
      <c r="N163" s="6" t="str">
        <f t="shared" si="21"/>
        <v/>
      </c>
      <c r="O163" s="6" t="str">
        <f t="shared" si="22"/>
        <v/>
      </c>
      <c r="P163" s="6" t="str">
        <f t="shared" si="23"/>
        <v/>
      </c>
      <c r="Q163" s="6" t="str">
        <f t="shared" si="24"/>
        <v/>
      </c>
    </row>
    <row r="164" spans="13:17" x14ac:dyDescent="0.3">
      <c r="M164" s="6" t="str">
        <f t="shared" si="20"/>
        <v/>
      </c>
      <c r="N164" s="6" t="str">
        <f t="shared" si="21"/>
        <v/>
      </c>
      <c r="O164" s="6" t="str">
        <f t="shared" si="22"/>
        <v/>
      </c>
      <c r="P164" s="6" t="str">
        <f t="shared" si="23"/>
        <v/>
      </c>
      <c r="Q164" s="6" t="str">
        <f t="shared" si="24"/>
        <v/>
      </c>
    </row>
    <row r="165" spans="13:17" x14ac:dyDescent="0.3">
      <c r="M165" s="6" t="str">
        <f t="shared" si="20"/>
        <v/>
      </c>
      <c r="N165" s="6" t="str">
        <f t="shared" si="21"/>
        <v/>
      </c>
      <c r="O165" s="6" t="str">
        <f t="shared" si="22"/>
        <v/>
      </c>
      <c r="P165" s="6" t="str">
        <f t="shared" si="23"/>
        <v/>
      </c>
      <c r="Q165" s="6" t="str">
        <f t="shared" si="24"/>
        <v/>
      </c>
    </row>
    <row r="166" spans="13:17" x14ac:dyDescent="0.3">
      <c r="M166" s="6" t="str">
        <f t="shared" si="20"/>
        <v/>
      </c>
      <c r="N166" s="6" t="str">
        <f t="shared" si="21"/>
        <v/>
      </c>
      <c r="O166" s="6" t="str">
        <f t="shared" si="22"/>
        <v/>
      </c>
      <c r="P166" s="6" t="str">
        <f t="shared" si="23"/>
        <v/>
      </c>
      <c r="Q166" s="6" t="str">
        <f t="shared" si="24"/>
        <v/>
      </c>
    </row>
    <row r="167" spans="13:17" x14ac:dyDescent="0.3">
      <c r="M167" s="6" t="str">
        <f t="shared" si="20"/>
        <v/>
      </c>
      <c r="N167" s="6" t="str">
        <f t="shared" si="21"/>
        <v/>
      </c>
      <c r="O167" s="6" t="str">
        <f t="shared" si="22"/>
        <v/>
      </c>
      <c r="P167" s="6" t="str">
        <f t="shared" si="23"/>
        <v/>
      </c>
      <c r="Q167" s="6" t="str">
        <f t="shared" si="24"/>
        <v/>
      </c>
    </row>
    <row r="168" spans="13:17" x14ac:dyDescent="0.3">
      <c r="M168" s="6" t="str">
        <f t="shared" si="20"/>
        <v/>
      </c>
      <c r="N168" s="6" t="str">
        <f t="shared" si="21"/>
        <v/>
      </c>
      <c r="O168" s="6" t="str">
        <f t="shared" si="22"/>
        <v/>
      </c>
      <c r="P168" s="6" t="str">
        <f t="shared" si="23"/>
        <v/>
      </c>
      <c r="Q168" s="6" t="str">
        <f t="shared" si="24"/>
        <v/>
      </c>
    </row>
    <row r="169" spans="13:17" x14ac:dyDescent="0.3">
      <c r="M169" s="6" t="str">
        <f t="shared" si="20"/>
        <v/>
      </c>
      <c r="N169" s="6" t="str">
        <f t="shared" si="21"/>
        <v/>
      </c>
      <c r="O169" s="6" t="str">
        <f t="shared" si="22"/>
        <v/>
      </c>
      <c r="P169" s="6" t="str">
        <f t="shared" si="23"/>
        <v/>
      </c>
      <c r="Q169" s="6" t="str">
        <f t="shared" si="24"/>
        <v/>
      </c>
    </row>
    <row r="170" spans="13:17" x14ac:dyDescent="0.3">
      <c r="M170" s="6" t="str">
        <f t="shared" si="20"/>
        <v/>
      </c>
      <c r="N170" s="6" t="str">
        <f t="shared" si="21"/>
        <v/>
      </c>
      <c r="O170" s="6" t="str">
        <f t="shared" si="22"/>
        <v/>
      </c>
      <c r="P170" s="6" t="str">
        <f t="shared" si="23"/>
        <v/>
      </c>
      <c r="Q170" s="6" t="str">
        <f t="shared" si="24"/>
        <v/>
      </c>
    </row>
    <row r="171" spans="13:17" x14ac:dyDescent="0.3">
      <c r="M171" s="6" t="str">
        <f t="shared" si="20"/>
        <v/>
      </c>
      <c r="N171" s="6" t="str">
        <f t="shared" si="21"/>
        <v/>
      </c>
      <c r="O171" s="6" t="str">
        <f t="shared" si="22"/>
        <v/>
      </c>
      <c r="P171" s="6" t="str">
        <f t="shared" si="23"/>
        <v/>
      </c>
      <c r="Q171" s="6" t="str">
        <f t="shared" si="24"/>
        <v/>
      </c>
    </row>
    <row r="172" spans="13:17" x14ac:dyDescent="0.3">
      <c r="M172" s="6" t="str">
        <f t="shared" si="20"/>
        <v/>
      </c>
      <c r="N172" s="6" t="str">
        <f t="shared" si="21"/>
        <v/>
      </c>
      <c r="O172" s="6" t="str">
        <f t="shared" si="22"/>
        <v/>
      </c>
      <c r="P172" s="6" t="str">
        <f t="shared" si="23"/>
        <v/>
      </c>
      <c r="Q172" s="6" t="str">
        <f t="shared" si="24"/>
        <v/>
      </c>
    </row>
    <row r="173" spans="13:17" x14ac:dyDescent="0.3">
      <c r="M173" s="6" t="str">
        <f t="shared" si="20"/>
        <v/>
      </c>
      <c r="N173" s="6" t="str">
        <f t="shared" si="21"/>
        <v/>
      </c>
      <c r="O173" s="6" t="str">
        <f t="shared" si="22"/>
        <v/>
      </c>
      <c r="P173" s="6" t="str">
        <f t="shared" si="23"/>
        <v/>
      </c>
      <c r="Q173" s="6" t="str">
        <f t="shared" si="24"/>
        <v/>
      </c>
    </row>
    <row r="174" spans="13:17" x14ac:dyDescent="0.3">
      <c r="M174" s="6" t="str">
        <f t="shared" si="20"/>
        <v/>
      </c>
      <c r="N174" s="6" t="str">
        <f t="shared" si="21"/>
        <v/>
      </c>
      <c r="O174" s="6" t="str">
        <f t="shared" si="22"/>
        <v/>
      </c>
      <c r="P174" s="6" t="str">
        <f t="shared" si="23"/>
        <v/>
      </c>
      <c r="Q174" s="6" t="str">
        <f t="shared" si="24"/>
        <v/>
      </c>
    </row>
    <row r="175" spans="13:17" x14ac:dyDescent="0.3">
      <c r="M175" s="6" t="str">
        <f t="shared" si="20"/>
        <v/>
      </c>
      <c r="N175" s="6" t="str">
        <f t="shared" si="21"/>
        <v/>
      </c>
      <c r="O175" s="6" t="str">
        <f t="shared" si="22"/>
        <v/>
      </c>
      <c r="P175" s="6" t="str">
        <f t="shared" si="23"/>
        <v/>
      </c>
      <c r="Q175" s="6" t="str">
        <f t="shared" si="24"/>
        <v/>
      </c>
    </row>
    <row r="176" spans="13:17" x14ac:dyDescent="0.3">
      <c r="M176" s="6" t="str">
        <f t="shared" si="20"/>
        <v/>
      </c>
      <c r="N176" s="6" t="str">
        <f t="shared" si="21"/>
        <v/>
      </c>
      <c r="O176" s="6" t="str">
        <f t="shared" si="22"/>
        <v/>
      </c>
      <c r="P176" s="6" t="str">
        <f t="shared" si="23"/>
        <v/>
      </c>
      <c r="Q176" s="6" t="str">
        <f t="shared" si="24"/>
        <v/>
      </c>
    </row>
    <row r="177" spans="13:17" x14ac:dyDescent="0.3">
      <c r="M177" s="6" t="str">
        <f t="shared" si="20"/>
        <v/>
      </c>
      <c r="N177" s="6" t="str">
        <f t="shared" si="21"/>
        <v/>
      </c>
      <c r="O177" s="6" t="str">
        <f t="shared" si="22"/>
        <v/>
      </c>
      <c r="P177" s="6" t="str">
        <f t="shared" si="23"/>
        <v/>
      </c>
      <c r="Q177" s="6" t="str">
        <f t="shared" si="24"/>
        <v/>
      </c>
    </row>
    <row r="178" spans="13:17" x14ac:dyDescent="0.3">
      <c r="M178" s="6" t="str">
        <f t="shared" si="20"/>
        <v/>
      </c>
      <c r="N178" s="6" t="str">
        <f t="shared" si="21"/>
        <v/>
      </c>
      <c r="O178" s="6" t="str">
        <f t="shared" si="22"/>
        <v/>
      </c>
      <c r="P178" s="6" t="str">
        <f t="shared" si="23"/>
        <v/>
      </c>
      <c r="Q178" s="6" t="str">
        <f t="shared" si="24"/>
        <v/>
      </c>
    </row>
    <row r="179" spans="13:17" x14ac:dyDescent="0.3">
      <c r="M179" s="6" t="str">
        <f t="shared" si="20"/>
        <v/>
      </c>
      <c r="N179" s="6" t="str">
        <f t="shared" si="21"/>
        <v/>
      </c>
      <c r="O179" s="6" t="str">
        <f t="shared" si="22"/>
        <v/>
      </c>
      <c r="P179" s="6" t="str">
        <f t="shared" si="23"/>
        <v/>
      </c>
      <c r="Q179" s="6" t="str">
        <f t="shared" si="24"/>
        <v/>
      </c>
    </row>
    <row r="180" spans="13:17" x14ac:dyDescent="0.3">
      <c r="M180" s="6" t="str">
        <f t="shared" si="20"/>
        <v/>
      </c>
      <c r="N180" s="6" t="str">
        <f t="shared" si="21"/>
        <v/>
      </c>
      <c r="O180" s="6" t="str">
        <f t="shared" si="22"/>
        <v/>
      </c>
      <c r="P180" s="6" t="str">
        <f t="shared" si="23"/>
        <v/>
      </c>
      <c r="Q180" s="6" t="str">
        <f t="shared" si="24"/>
        <v/>
      </c>
    </row>
    <row r="181" spans="13:17" x14ac:dyDescent="0.3">
      <c r="M181" s="6" t="str">
        <f t="shared" si="20"/>
        <v/>
      </c>
      <c r="N181" s="6" t="str">
        <f t="shared" si="21"/>
        <v/>
      </c>
      <c r="O181" s="6" t="str">
        <f t="shared" si="22"/>
        <v/>
      </c>
      <c r="P181" s="6" t="str">
        <f t="shared" si="23"/>
        <v/>
      </c>
      <c r="Q181" s="6" t="str">
        <f t="shared" si="24"/>
        <v/>
      </c>
    </row>
    <row r="182" spans="13:17" x14ac:dyDescent="0.3">
      <c r="M182" s="6" t="str">
        <f t="shared" si="20"/>
        <v/>
      </c>
      <c r="N182" s="6" t="str">
        <f t="shared" si="21"/>
        <v/>
      </c>
      <c r="O182" s="6" t="str">
        <f t="shared" si="22"/>
        <v/>
      </c>
      <c r="P182" s="6" t="str">
        <f t="shared" si="23"/>
        <v/>
      </c>
      <c r="Q182" s="6" t="str">
        <f t="shared" si="24"/>
        <v/>
      </c>
    </row>
    <row r="183" spans="13:17" x14ac:dyDescent="0.3">
      <c r="M183" s="6" t="str">
        <f t="shared" si="20"/>
        <v/>
      </c>
      <c r="N183" s="6" t="str">
        <f t="shared" si="21"/>
        <v/>
      </c>
      <c r="O183" s="6" t="str">
        <f t="shared" si="22"/>
        <v/>
      </c>
      <c r="P183" s="6" t="str">
        <f t="shared" si="23"/>
        <v/>
      </c>
      <c r="Q183" s="6" t="str">
        <f t="shared" si="24"/>
        <v/>
      </c>
    </row>
    <row r="184" spans="13:17" x14ac:dyDescent="0.3">
      <c r="M184" s="6" t="str">
        <f t="shared" si="20"/>
        <v/>
      </c>
      <c r="N184" s="6" t="str">
        <f t="shared" si="21"/>
        <v/>
      </c>
      <c r="O184" s="6" t="str">
        <f t="shared" si="22"/>
        <v/>
      </c>
      <c r="P184" s="6" t="str">
        <f t="shared" si="23"/>
        <v/>
      </c>
      <c r="Q184" s="6" t="str">
        <f t="shared" si="24"/>
        <v/>
      </c>
    </row>
    <row r="185" spans="13:17" x14ac:dyDescent="0.3">
      <c r="M185" s="6" t="str">
        <f t="shared" si="20"/>
        <v/>
      </c>
      <c r="N185" s="6" t="str">
        <f t="shared" si="21"/>
        <v/>
      </c>
      <c r="O185" s="6" t="str">
        <f t="shared" si="22"/>
        <v/>
      </c>
      <c r="P185" s="6" t="str">
        <f t="shared" si="23"/>
        <v/>
      </c>
      <c r="Q185" s="6" t="str">
        <f t="shared" si="24"/>
        <v/>
      </c>
    </row>
    <row r="186" spans="13:17" x14ac:dyDescent="0.3">
      <c r="M186" s="6" t="str">
        <f t="shared" si="20"/>
        <v/>
      </c>
      <c r="N186" s="6" t="str">
        <f t="shared" si="21"/>
        <v/>
      </c>
      <c r="O186" s="6" t="str">
        <f t="shared" si="22"/>
        <v/>
      </c>
      <c r="P186" s="6" t="str">
        <f t="shared" si="23"/>
        <v/>
      </c>
      <c r="Q186" s="6" t="str">
        <f t="shared" si="24"/>
        <v/>
      </c>
    </row>
    <row r="187" spans="13:17" x14ac:dyDescent="0.3">
      <c r="M187" s="6" t="str">
        <f t="shared" si="20"/>
        <v/>
      </c>
      <c r="N187" s="6" t="str">
        <f t="shared" si="21"/>
        <v/>
      </c>
      <c r="O187" s="6" t="str">
        <f t="shared" si="22"/>
        <v/>
      </c>
      <c r="P187" s="6" t="str">
        <f t="shared" si="23"/>
        <v/>
      </c>
      <c r="Q187" s="6" t="str">
        <f t="shared" si="24"/>
        <v/>
      </c>
    </row>
    <row r="188" spans="13:17" x14ac:dyDescent="0.3">
      <c r="M188" s="6" t="str">
        <f t="shared" si="20"/>
        <v/>
      </c>
      <c r="N188" s="6" t="str">
        <f t="shared" si="21"/>
        <v/>
      </c>
      <c r="O188" s="6" t="str">
        <f t="shared" si="22"/>
        <v/>
      </c>
      <c r="P188" s="6" t="str">
        <f t="shared" si="23"/>
        <v/>
      </c>
      <c r="Q188" s="6" t="str">
        <f t="shared" si="24"/>
        <v/>
      </c>
    </row>
    <row r="189" spans="13:17" x14ac:dyDescent="0.3">
      <c r="M189" s="6" t="str">
        <f t="shared" si="20"/>
        <v/>
      </c>
      <c r="N189" s="6" t="str">
        <f t="shared" si="21"/>
        <v/>
      </c>
      <c r="O189" s="6" t="str">
        <f t="shared" si="22"/>
        <v/>
      </c>
      <c r="P189" s="6" t="str">
        <f t="shared" si="23"/>
        <v/>
      </c>
      <c r="Q189" s="6" t="str">
        <f t="shared" si="24"/>
        <v/>
      </c>
    </row>
    <row r="190" spans="13:17" x14ac:dyDescent="0.3">
      <c r="M190" s="6" t="str">
        <f t="shared" si="20"/>
        <v/>
      </c>
      <c r="N190" s="6" t="str">
        <f t="shared" si="21"/>
        <v/>
      </c>
      <c r="O190" s="6" t="str">
        <f t="shared" si="22"/>
        <v/>
      </c>
      <c r="P190" s="6" t="str">
        <f t="shared" si="23"/>
        <v/>
      </c>
      <c r="Q190" s="6" t="str">
        <f t="shared" si="24"/>
        <v/>
      </c>
    </row>
    <row r="191" spans="13:17" x14ac:dyDescent="0.3">
      <c r="M191" s="6" t="str">
        <f t="shared" si="20"/>
        <v/>
      </c>
      <c r="N191" s="6" t="str">
        <f t="shared" si="21"/>
        <v/>
      </c>
      <c r="O191" s="6" t="str">
        <f t="shared" si="22"/>
        <v/>
      </c>
      <c r="P191" s="6" t="str">
        <f t="shared" si="23"/>
        <v/>
      </c>
      <c r="Q191" s="6" t="str">
        <f t="shared" si="24"/>
        <v/>
      </c>
    </row>
    <row r="192" spans="13:17" x14ac:dyDescent="0.3">
      <c r="M192" s="6" t="str">
        <f t="shared" si="20"/>
        <v/>
      </c>
      <c r="N192" s="6" t="str">
        <f t="shared" si="21"/>
        <v/>
      </c>
      <c r="O192" s="6" t="str">
        <f t="shared" si="22"/>
        <v/>
      </c>
      <c r="P192" s="6" t="str">
        <f t="shared" si="23"/>
        <v/>
      </c>
      <c r="Q192" s="6" t="str">
        <f t="shared" si="24"/>
        <v/>
      </c>
    </row>
    <row r="193" spans="13:17" x14ac:dyDescent="0.3">
      <c r="M193" s="6" t="str">
        <f t="shared" si="20"/>
        <v/>
      </c>
      <c r="N193" s="6" t="str">
        <f t="shared" si="21"/>
        <v/>
      </c>
      <c r="O193" s="6" t="str">
        <f t="shared" si="22"/>
        <v/>
      </c>
      <c r="P193" s="6" t="str">
        <f t="shared" si="23"/>
        <v/>
      </c>
      <c r="Q193" s="6" t="str">
        <f t="shared" si="24"/>
        <v/>
      </c>
    </row>
    <row r="194" spans="13:17" x14ac:dyDescent="0.3">
      <c r="M194" s="6" t="str">
        <f t="shared" si="20"/>
        <v/>
      </c>
      <c r="N194" s="6" t="str">
        <f t="shared" si="21"/>
        <v/>
      </c>
      <c r="O194" s="6" t="str">
        <f t="shared" si="22"/>
        <v/>
      </c>
      <c r="P194" s="6" t="str">
        <f t="shared" si="23"/>
        <v/>
      </c>
      <c r="Q194" s="6" t="str">
        <f t="shared" si="24"/>
        <v/>
      </c>
    </row>
    <row r="195" spans="13:17" x14ac:dyDescent="0.3">
      <c r="M195" s="6" t="str">
        <f t="shared" si="20"/>
        <v/>
      </c>
      <c r="N195" s="6" t="str">
        <f t="shared" si="21"/>
        <v/>
      </c>
      <c r="O195" s="6" t="str">
        <f t="shared" si="22"/>
        <v/>
      </c>
      <c r="P195" s="6" t="str">
        <f t="shared" si="23"/>
        <v/>
      </c>
      <c r="Q195" s="6" t="str">
        <f t="shared" si="24"/>
        <v/>
      </c>
    </row>
    <row r="196" spans="13:17" x14ac:dyDescent="0.3">
      <c r="M196" s="6" t="str">
        <f t="shared" si="20"/>
        <v/>
      </c>
      <c r="N196" s="6" t="str">
        <f t="shared" si="21"/>
        <v/>
      </c>
      <c r="O196" s="6" t="str">
        <f t="shared" si="22"/>
        <v/>
      </c>
      <c r="P196" s="6" t="str">
        <f t="shared" si="23"/>
        <v/>
      </c>
      <c r="Q196" s="6" t="str">
        <f t="shared" si="24"/>
        <v/>
      </c>
    </row>
    <row r="197" spans="13:17" x14ac:dyDescent="0.3">
      <c r="M197" s="6" t="str">
        <f t="shared" si="20"/>
        <v/>
      </c>
      <c r="N197" s="6" t="str">
        <f t="shared" si="21"/>
        <v/>
      </c>
      <c r="O197" s="6" t="str">
        <f t="shared" si="22"/>
        <v/>
      </c>
      <c r="P197" s="6" t="str">
        <f t="shared" si="23"/>
        <v/>
      </c>
      <c r="Q197" s="6" t="str">
        <f t="shared" si="24"/>
        <v/>
      </c>
    </row>
    <row r="198" spans="13:17" x14ac:dyDescent="0.3">
      <c r="M198" s="6" t="str">
        <f t="shared" si="20"/>
        <v/>
      </c>
      <c r="N198" s="6" t="str">
        <f t="shared" si="21"/>
        <v/>
      </c>
      <c r="O198" s="6" t="str">
        <f t="shared" si="22"/>
        <v/>
      </c>
      <c r="P198" s="6" t="str">
        <f t="shared" si="23"/>
        <v/>
      </c>
      <c r="Q198" s="6" t="str">
        <f t="shared" si="24"/>
        <v/>
      </c>
    </row>
    <row r="199" spans="13:17" x14ac:dyDescent="0.3">
      <c r="M199" s="6" t="str">
        <f t="shared" si="20"/>
        <v/>
      </c>
      <c r="N199" s="6" t="str">
        <f t="shared" si="21"/>
        <v/>
      </c>
      <c r="O199" s="6" t="str">
        <f t="shared" si="22"/>
        <v/>
      </c>
      <c r="P199" s="6" t="str">
        <f t="shared" si="23"/>
        <v/>
      </c>
      <c r="Q199" s="6" t="str">
        <f t="shared" si="24"/>
        <v/>
      </c>
    </row>
    <row r="200" spans="13:17" x14ac:dyDescent="0.3">
      <c r="M200" s="6" t="str">
        <f t="shared" si="20"/>
        <v/>
      </c>
      <c r="N200" s="6" t="str">
        <f t="shared" si="21"/>
        <v/>
      </c>
      <c r="O200" s="6" t="str">
        <f t="shared" si="22"/>
        <v/>
      </c>
      <c r="P200" s="6" t="str">
        <f t="shared" si="23"/>
        <v/>
      </c>
      <c r="Q200" s="6" t="str">
        <f t="shared" si="24"/>
        <v/>
      </c>
    </row>
    <row r="201" spans="13:17" x14ac:dyDescent="0.3">
      <c r="M201" s="6" t="str">
        <f t="shared" si="20"/>
        <v/>
      </c>
      <c r="N201" s="6" t="str">
        <f t="shared" si="21"/>
        <v/>
      </c>
      <c r="O201" s="6" t="str">
        <f t="shared" si="22"/>
        <v/>
      </c>
      <c r="P201" s="6" t="str">
        <f t="shared" si="23"/>
        <v/>
      </c>
      <c r="Q201" s="6" t="str">
        <f t="shared" si="24"/>
        <v/>
      </c>
    </row>
    <row r="202" spans="13:17" x14ac:dyDescent="0.3">
      <c r="M202" s="6" t="str">
        <f t="shared" si="20"/>
        <v/>
      </c>
      <c r="N202" s="6" t="str">
        <f t="shared" si="21"/>
        <v/>
      </c>
      <c r="O202" s="6" t="str">
        <f t="shared" si="22"/>
        <v/>
      </c>
      <c r="P202" s="6" t="str">
        <f t="shared" si="23"/>
        <v/>
      </c>
      <c r="Q202" s="6" t="str">
        <f t="shared" si="24"/>
        <v/>
      </c>
    </row>
    <row r="203" spans="13:17" x14ac:dyDescent="0.3">
      <c r="M203" s="6" t="str">
        <f t="shared" si="20"/>
        <v/>
      </c>
      <c r="N203" s="6" t="str">
        <f t="shared" si="21"/>
        <v/>
      </c>
      <c r="O203" s="6" t="str">
        <f t="shared" si="22"/>
        <v/>
      </c>
      <c r="P203" s="6" t="str">
        <f t="shared" si="23"/>
        <v/>
      </c>
      <c r="Q203" s="6" t="str">
        <f t="shared" si="24"/>
        <v/>
      </c>
    </row>
    <row r="204" spans="13:17" x14ac:dyDescent="0.3">
      <c r="M204" s="6" t="str">
        <f t="shared" ref="M204:M267" si="25">IF(OR(I204="",F204=""),"",IF(OR(I204&lt;=0,F204&lt;=0),"",0.95*((I204^3)/F204)^0.385))</f>
        <v/>
      </c>
      <c r="N204" s="6" t="str">
        <f t="shared" ref="N204:N267" si="26">IF(OR(B204="",I204="",G204="",D204=""),"",IF(OR(B204&lt;=0,I204&lt;=0,G204&lt;=D204),"",(4*SQRT(B204)+1.5*I204)/(0.8*SQRT(G204-D204))))</f>
        <v/>
      </c>
      <c r="O204" s="6" t="str">
        <f t="shared" ref="O204:O267" si="27">IF(OR(I204="",C204="",H204=""),"",IF(OR(I204&lt;=0,H204&lt;=0,C204&lt;=0,C204&gt;100),"",((100*((I204*1000/0.3048)^0.8)*(((1000/C204)-9)^0.7))/(1900*SQRT(H204*100)))/60))</f>
        <v/>
      </c>
      <c r="P204" s="6" t="str">
        <f t="shared" ref="P204:P267" si="28">IF(OR(I204="",H204=""),"",IF(OR(I204&lt;=0,H204&lt;=0),"",(18*(I204^0.76)/(H204^0.19))/60))</f>
        <v/>
      </c>
      <c r="Q204" s="6" t="str">
        <f t="shared" ref="Q204:Q267" si="29">IF(OR(I204="",K204=""),"",IF(OR(I204&lt;=0,K204&lt;=0),"",I204/(3.6*K204)))</f>
        <v/>
      </c>
    </row>
    <row r="205" spans="13:17" x14ac:dyDescent="0.3">
      <c r="M205" s="6" t="str">
        <f t="shared" si="25"/>
        <v/>
      </c>
      <c r="N205" s="6" t="str">
        <f t="shared" si="26"/>
        <v/>
      </c>
      <c r="O205" s="6" t="str">
        <f t="shared" si="27"/>
        <v/>
      </c>
      <c r="P205" s="6" t="str">
        <f t="shared" si="28"/>
        <v/>
      </c>
      <c r="Q205" s="6" t="str">
        <f t="shared" si="29"/>
        <v/>
      </c>
    </row>
    <row r="206" spans="13:17" x14ac:dyDescent="0.3">
      <c r="M206" s="6" t="str">
        <f t="shared" si="25"/>
        <v/>
      </c>
      <c r="N206" s="6" t="str">
        <f t="shared" si="26"/>
        <v/>
      </c>
      <c r="O206" s="6" t="str">
        <f t="shared" si="27"/>
        <v/>
      </c>
      <c r="P206" s="6" t="str">
        <f t="shared" si="28"/>
        <v/>
      </c>
      <c r="Q206" s="6" t="str">
        <f t="shared" si="29"/>
        <v/>
      </c>
    </row>
    <row r="207" spans="13:17" x14ac:dyDescent="0.3">
      <c r="M207" s="6" t="str">
        <f t="shared" si="25"/>
        <v/>
      </c>
      <c r="N207" s="6" t="str">
        <f t="shared" si="26"/>
        <v/>
      </c>
      <c r="O207" s="6" t="str">
        <f t="shared" si="27"/>
        <v/>
      </c>
      <c r="P207" s="6" t="str">
        <f t="shared" si="28"/>
        <v/>
      </c>
      <c r="Q207" s="6" t="str">
        <f t="shared" si="29"/>
        <v/>
      </c>
    </row>
    <row r="208" spans="13:17" x14ac:dyDescent="0.3">
      <c r="M208" s="6" t="str">
        <f t="shared" si="25"/>
        <v/>
      </c>
      <c r="N208" s="6" t="str">
        <f t="shared" si="26"/>
        <v/>
      </c>
      <c r="O208" s="6" t="str">
        <f t="shared" si="27"/>
        <v/>
      </c>
      <c r="P208" s="6" t="str">
        <f t="shared" si="28"/>
        <v/>
      </c>
      <c r="Q208" s="6" t="str">
        <f t="shared" si="29"/>
        <v/>
      </c>
    </row>
    <row r="209" spans="13:17" x14ac:dyDescent="0.3">
      <c r="M209" s="6" t="str">
        <f t="shared" si="25"/>
        <v/>
      </c>
      <c r="N209" s="6" t="str">
        <f t="shared" si="26"/>
        <v/>
      </c>
      <c r="O209" s="6" t="str">
        <f t="shared" si="27"/>
        <v/>
      </c>
      <c r="P209" s="6" t="str">
        <f t="shared" si="28"/>
        <v/>
      </c>
      <c r="Q209" s="6" t="str">
        <f t="shared" si="29"/>
        <v/>
      </c>
    </row>
    <row r="210" spans="13:17" x14ac:dyDescent="0.3">
      <c r="M210" s="6" t="str">
        <f t="shared" si="25"/>
        <v/>
      </c>
      <c r="N210" s="6" t="str">
        <f t="shared" si="26"/>
        <v/>
      </c>
      <c r="O210" s="6" t="str">
        <f t="shared" si="27"/>
        <v/>
      </c>
      <c r="P210" s="6" t="str">
        <f t="shared" si="28"/>
        <v/>
      </c>
      <c r="Q210" s="6" t="str">
        <f t="shared" si="29"/>
        <v/>
      </c>
    </row>
    <row r="211" spans="13:17" x14ac:dyDescent="0.3">
      <c r="M211" s="6" t="str">
        <f t="shared" si="25"/>
        <v/>
      </c>
      <c r="N211" s="6" t="str">
        <f t="shared" si="26"/>
        <v/>
      </c>
      <c r="O211" s="6" t="str">
        <f t="shared" si="27"/>
        <v/>
      </c>
      <c r="P211" s="6" t="str">
        <f t="shared" si="28"/>
        <v/>
      </c>
      <c r="Q211" s="6" t="str">
        <f t="shared" si="29"/>
        <v/>
      </c>
    </row>
    <row r="212" spans="13:17" x14ac:dyDescent="0.3">
      <c r="M212" s="6" t="str">
        <f t="shared" si="25"/>
        <v/>
      </c>
      <c r="N212" s="6" t="str">
        <f t="shared" si="26"/>
        <v/>
      </c>
      <c r="O212" s="6" t="str">
        <f t="shared" si="27"/>
        <v/>
      </c>
      <c r="P212" s="6" t="str">
        <f t="shared" si="28"/>
        <v/>
      </c>
      <c r="Q212" s="6" t="str">
        <f t="shared" si="29"/>
        <v/>
      </c>
    </row>
    <row r="213" spans="13:17" x14ac:dyDescent="0.3">
      <c r="M213" s="6" t="str">
        <f t="shared" si="25"/>
        <v/>
      </c>
      <c r="N213" s="6" t="str">
        <f t="shared" si="26"/>
        <v/>
      </c>
      <c r="O213" s="6" t="str">
        <f t="shared" si="27"/>
        <v/>
      </c>
      <c r="P213" s="6" t="str">
        <f t="shared" si="28"/>
        <v/>
      </c>
      <c r="Q213" s="6" t="str">
        <f t="shared" si="29"/>
        <v/>
      </c>
    </row>
    <row r="214" spans="13:17" x14ac:dyDescent="0.3">
      <c r="M214" s="6" t="str">
        <f t="shared" si="25"/>
        <v/>
      </c>
      <c r="N214" s="6" t="str">
        <f t="shared" si="26"/>
        <v/>
      </c>
      <c r="O214" s="6" t="str">
        <f t="shared" si="27"/>
        <v/>
      </c>
      <c r="P214" s="6" t="str">
        <f t="shared" si="28"/>
        <v/>
      </c>
      <c r="Q214" s="6" t="str">
        <f t="shared" si="29"/>
        <v/>
      </c>
    </row>
    <row r="215" spans="13:17" x14ac:dyDescent="0.3">
      <c r="M215" s="6" t="str">
        <f t="shared" si="25"/>
        <v/>
      </c>
      <c r="N215" s="6" t="str">
        <f t="shared" si="26"/>
        <v/>
      </c>
      <c r="O215" s="6" t="str">
        <f t="shared" si="27"/>
        <v/>
      </c>
      <c r="P215" s="6" t="str">
        <f t="shared" si="28"/>
        <v/>
      </c>
      <c r="Q215" s="6" t="str">
        <f t="shared" si="29"/>
        <v/>
      </c>
    </row>
    <row r="216" spans="13:17" x14ac:dyDescent="0.3">
      <c r="M216" s="6" t="str">
        <f t="shared" si="25"/>
        <v/>
      </c>
      <c r="N216" s="6" t="str">
        <f t="shared" si="26"/>
        <v/>
      </c>
      <c r="O216" s="6" t="str">
        <f t="shared" si="27"/>
        <v/>
      </c>
      <c r="P216" s="6" t="str">
        <f t="shared" si="28"/>
        <v/>
      </c>
      <c r="Q216" s="6" t="str">
        <f t="shared" si="29"/>
        <v/>
      </c>
    </row>
    <row r="217" spans="13:17" x14ac:dyDescent="0.3">
      <c r="M217" s="6" t="str">
        <f t="shared" si="25"/>
        <v/>
      </c>
      <c r="N217" s="6" t="str">
        <f t="shared" si="26"/>
        <v/>
      </c>
      <c r="O217" s="6" t="str">
        <f t="shared" si="27"/>
        <v/>
      </c>
      <c r="P217" s="6" t="str">
        <f t="shared" si="28"/>
        <v/>
      </c>
      <c r="Q217" s="6" t="str">
        <f t="shared" si="29"/>
        <v/>
      </c>
    </row>
    <row r="218" spans="13:17" x14ac:dyDescent="0.3">
      <c r="M218" s="6" t="str">
        <f t="shared" si="25"/>
        <v/>
      </c>
      <c r="N218" s="6" t="str">
        <f t="shared" si="26"/>
        <v/>
      </c>
      <c r="O218" s="6" t="str">
        <f t="shared" si="27"/>
        <v/>
      </c>
      <c r="P218" s="6" t="str">
        <f t="shared" si="28"/>
        <v/>
      </c>
      <c r="Q218" s="6" t="str">
        <f t="shared" si="29"/>
        <v/>
      </c>
    </row>
    <row r="219" spans="13:17" x14ac:dyDescent="0.3">
      <c r="M219" s="6" t="str">
        <f t="shared" si="25"/>
        <v/>
      </c>
      <c r="N219" s="6" t="str">
        <f t="shared" si="26"/>
        <v/>
      </c>
      <c r="O219" s="6" t="str">
        <f t="shared" si="27"/>
        <v/>
      </c>
      <c r="P219" s="6" t="str">
        <f t="shared" si="28"/>
        <v/>
      </c>
      <c r="Q219" s="6" t="str">
        <f t="shared" si="29"/>
        <v/>
      </c>
    </row>
    <row r="220" spans="13:17" x14ac:dyDescent="0.3">
      <c r="M220" s="6" t="str">
        <f t="shared" si="25"/>
        <v/>
      </c>
      <c r="N220" s="6" t="str">
        <f t="shared" si="26"/>
        <v/>
      </c>
      <c r="O220" s="6" t="str">
        <f t="shared" si="27"/>
        <v/>
      </c>
      <c r="P220" s="6" t="str">
        <f t="shared" si="28"/>
        <v/>
      </c>
      <c r="Q220" s="6" t="str">
        <f t="shared" si="29"/>
        <v/>
      </c>
    </row>
    <row r="221" spans="13:17" x14ac:dyDescent="0.3">
      <c r="M221" s="6" t="str">
        <f t="shared" si="25"/>
        <v/>
      </c>
      <c r="N221" s="6" t="str">
        <f t="shared" si="26"/>
        <v/>
      </c>
      <c r="O221" s="6" t="str">
        <f t="shared" si="27"/>
        <v/>
      </c>
      <c r="P221" s="6" t="str">
        <f t="shared" si="28"/>
        <v/>
      </c>
      <c r="Q221" s="6" t="str">
        <f t="shared" si="29"/>
        <v/>
      </c>
    </row>
    <row r="222" spans="13:17" x14ac:dyDescent="0.3">
      <c r="M222" s="6" t="str">
        <f t="shared" si="25"/>
        <v/>
      </c>
      <c r="N222" s="6" t="str">
        <f t="shared" si="26"/>
        <v/>
      </c>
      <c r="O222" s="6" t="str">
        <f t="shared" si="27"/>
        <v/>
      </c>
      <c r="P222" s="6" t="str">
        <f t="shared" si="28"/>
        <v/>
      </c>
      <c r="Q222" s="6" t="str">
        <f t="shared" si="29"/>
        <v/>
      </c>
    </row>
    <row r="223" spans="13:17" x14ac:dyDescent="0.3">
      <c r="M223" s="6" t="str">
        <f t="shared" si="25"/>
        <v/>
      </c>
      <c r="N223" s="6" t="str">
        <f t="shared" si="26"/>
        <v/>
      </c>
      <c r="O223" s="6" t="str">
        <f t="shared" si="27"/>
        <v/>
      </c>
      <c r="P223" s="6" t="str">
        <f t="shared" si="28"/>
        <v/>
      </c>
      <c r="Q223" s="6" t="str">
        <f t="shared" si="29"/>
        <v/>
      </c>
    </row>
    <row r="224" spans="13:17" x14ac:dyDescent="0.3">
      <c r="M224" s="6" t="str">
        <f t="shared" si="25"/>
        <v/>
      </c>
      <c r="N224" s="6" t="str">
        <f t="shared" si="26"/>
        <v/>
      </c>
      <c r="O224" s="6" t="str">
        <f t="shared" si="27"/>
        <v/>
      </c>
      <c r="P224" s="6" t="str">
        <f t="shared" si="28"/>
        <v/>
      </c>
      <c r="Q224" s="6" t="str">
        <f t="shared" si="29"/>
        <v/>
      </c>
    </row>
    <row r="225" spans="13:17" x14ac:dyDescent="0.3">
      <c r="M225" s="6" t="str">
        <f t="shared" si="25"/>
        <v/>
      </c>
      <c r="N225" s="6" t="str">
        <f t="shared" si="26"/>
        <v/>
      </c>
      <c r="O225" s="6" t="str">
        <f t="shared" si="27"/>
        <v/>
      </c>
      <c r="P225" s="6" t="str">
        <f t="shared" si="28"/>
        <v/>
      </c>
      <c r="Q225" s="6" t="str">
        <f t="shared" si="29"/>
        <v/>
      </c>
    </row>
    <row r="226" spans="13:17" x14ac:dyDescent="0.3">
      <c r="M226" s="6" t="str">
        <f t="shared" si="25"/>
        <v/>
      </c>
      <c r="N226" s="6" t="str">
        <f t="shared" si="26"/>
        <v/>
      </c>
      <c r="O226" s="6" t="str">
        <f t="shared" si="27"/>
        <v/>
      </c>
      <c r="P226" s="6" t="str">
        <f t="shared" si="28"/>
        <v/>
      </c>
      <c r="Q226" s="6" t="str">
        <f t="shared" si="29"/>
        <v/>
      </c>
    </row>
    <row r="227" spans="13:17" x14ac:dyDescent="0.3">
      <c r="M227" s="6" t="str">
        <f t="shared" si="25"/>
        <v/>
      </c>
      <c r="N227" s="6" t="str">
        <f t="shared" si="26"/>
        <v/>
      </c>
      <c r="O227" s="6" t="str">
        <f t="shared" si="27"/>
        <v/>
      </c>
      <c r="P227" s="6" t="str">
        <f t="shared" si="28"/>
        <v/>
      </c>
      <c r="Q227" s="6" t="str">
        <f t="shared" si="29"/>
        <v/>
      </c>
    </row>
    <row r="228" spans="13:17" x14ac:dyDescent="0.3">
      <c r="M228" s="6" t="str">
        <f t="shared" si="25"/>
        <v/>
      </c>
      <c r="N228" s="6" t="str">
        <f t="shared" si="26"/>
        <v/>
      </c>
      <c r="O228" s="6" t="str">
        <f t="shared" si="27"/>
        <v/>
      </c>
      <c r="P228" s="6" t="str">
        <f t="shared" si="28"/>
        <v/>
      </c>
      <c r="Q228" s="6" t="str">
        <f t="shared" si="29"/>
        <v/>
      </c>
    </row>
    <row r="229" spans="13:17" x14ac:dyDescent="0.3">
      <c r="M229" s="6" t="str">
        <f t="shared" si="25"/>
        <v/>
      </c>
      <c r="N229" s="6" t="str">
        <f t="shared" si="26"/>
        <v/>
      </c>
      <c r="O229" s="6" t="str">
        <f t="shared" si="27"/>
        <v/>
      </c>
      <c r="P229" s="6" t="str">
        <f t="shared" si="28"/>
        <v/>
      </c>
      <c r="Q229" s="6" t="str">
        <f t="shared" si="29"/>
        <v/>
      </c>
    </row>
    <row r="230" spans="13:17" x14ac:dyDescent="0.3">
      <c r="M230" s="6" t="str">
        <f t="shared" si="25"/>
        <v/>
      </c>
      <c r="N230" s="6" t="str">
        <f t="shared" si="26"/>
        <v/>
      </c>
      <c r="O230" s="6" t="str">
        <f t="shared" si="27"/>
        <v/>
      </c>
      <c r="P230" s="6" t="str">
        <f t="shared" si="28"/>
        <v/>
      </c>
      <c r="Q230" s="6" t="str">
        <f t="shared" si="29"/>
        <v/>
      </c>
    </row>
    <row r="231" spans="13:17" x14ac:dyDescent="0.3">
      <c r="M231" s="6" t="str">
        <f t="shared" si="25"/>
        <v/>
      </c>
      <c r="N231" s="6" t="str">
        <f t="shared" si="26"/>
        <v/>
      </c>
      <c r="O231" s="6" t="str">
        <f t="shared" si="27"/>
        <v/>
      </c>
      <c r="P231" s="6" t="str">
        <f t="shared" si="28"/>
        <v/>
      </c>
      <c r="Q231" s="6" t="str">
        <f t="shared" si="29"/>
        <v/>
      </c>
    </row>
    <row r="232" spans="13:17" x14ac:dyDescent="0.3">
      <c r="M232" s="6" t="str">
        <f t="shared" si="25"/>
        <v/>
      </c>
      <c r="N232" s="6" t="str">
        <f t="shared" si="26"/>
        <v/>
      </c>
      <c r="O232" s="6" t="str">
        <f t="shared" si="27"/>
        <v/>
      </c>
      <c r="P232" s="6" t="str">
        <f t="shared" si="28"/>
        <v/>
      </c>
      <c r="Q232" s="6" t="str">
        <f t="shared" si="29"/>
        <v/>
      </c>
    </row>
    <row r="233" spans="13:17" x14ac:dyDescent="0.3">
      <c r="M233" s="6" t="str">
        <f t="shared" si="25"/>
        <v/>
      </c>
      <c r="N233" s="6" t="str">
        <f t="shared" si="26"/>
        <v/>
      </c>
      <c r="O233" s="6" t="str">
        <f t="shared" si="27"/>
        <v/>
      </c>
      <c r="P233" s="6" t="str">
        <f t="shared" si="28"/>
        <v/>
      </c>
      <c r="Q233" s="6" t="str">
        <f t="shared" si="29"/>
        <v/>
      </c>
    </row>
    <row r="234" spans="13:17" x14ac:dyDescent="0.3">
      <c r="M234" s="6" t="str">
        <f t="shared" si="25"/>
        <v/>
      </c>
      <c r="N234" s="6" t="str">
        <f t="shared" si="26"/>
        <v/>
      </c>
      <c r="O234" s="6" t="str">
        <f t="shared" si="27"/>
        <v/>
      </c>
      <c r="P234" s="6" t="str">
        <f t="shared" si="28"/>
        <v/>
      </c>
      <c r="Q234" s="6" t="str">
        <f t="shared" si="29"/>
        <v/>
      </c>
    </row>
    <row r="235" spans="13:17" x14ac:dyDescent="0.3">
      <c r="M235" s="6" t="str">
        <f t="shared" si="25"/>
        <v/>
      </c>
      <c r="N235" s="6" t="str">
        <f t="shared" si="26"/>
        <v/>
      </c>
      <c r="O235" s="6" t="str">
        <f t="shared" si="27"/>
        <v/>
      </c>
      <c r="P235" s="6" t="str">
        <f t="shared" si="28"/>
        <v/>
      </c>
      <c r="Q235" s="6" t="str">
        <f t="shared" si="29"/>
        <v/>
      </c>
    </row>
    <row r="236" spans="13:17" x14ac:dyDescent="0.3">
      <c r="M236" s="6" t="str">
        <f t="shared" si="25"/>
        <v/>
      </c>
      <c r="N236" s="6" t="str">
        <f t="shared" si="26"/>
        <v/>
      </c>
      <c r="O236" s="6" t="str">
        <f t="shared" si="27"/>
        <v/>
      </c>
      <c r="P236" s="6" t="str">
        <f t="shared" si="28"/>
        <v/>
      </c>
      <c r="Q236" s="6" t="str">
        <f t="shared" si="29"/>
        <v/>
      </c>
    </row>
    <row r="237" spans="13:17" x14ac:dyDescent="0.3">
      <c r="M237" s="6" t="str">
        <f t="shared" si="25"/>
        <v/>
      </c>
      <c r="N237" s="6" t="str">
        <f t="shared" si="26"/>
        <v/>
      </c>
      <c r="O237" s="6" t="str">
        <f t="shared" si="27"/>
        <v/>
      </c>
      <c r="P237" s="6" t="str">
        <f t="shared" si="28"/>
        <v/>
      </c>
      <c r="Q237" s="6" t="str">
        <f t="shared" si="29"/>
        <v/>
      </c>
    </row>
    <row r="238" spans="13:17" x14ac:dyDescent="0.3">
      <c r="M238" s="6" t="str">
        <f t="shared" si="25"/>
        <v/>
      </c>
      <c r="N238" s="6" t="str">
        <f t="shared" si="26"/>
        <v/>
      </c>
      <c r="O238" s="6" t="str">
        <f t="shared" si="27"/>
        <v/>
      </c>
      <c r="P238" s="6" t="str">
        <f t="shared" si="28"/>
        <v/>
      </c>
      <c r="Q238" s="6" t="str">
        <f t="shared" si="29"/>
        <v/>
      </c>
    </row>
    <row r="239" spans="13:17" x14ac:dyDescent="0.3">
      <c r="M239" s="6" t="str">
        <f t="shared" si="25"/>
        <v/>
      </c>
      <c r="N239" s="6" t="str">
        <f t="shared" si="26"/>
        <v/>
      </c>
      <c r="O239" s="6" t="str">
        <f t="shared" si="27"/>
        <v/>
      </c>
      <c r="P239" s="6" t="str">
        <f t="shared" si="28"/>
        <v/>
      </c>
      <c r="Q239" s="6" t="str">
        <f t="shared" si="29"/>
        <v/>
      </c>
    </row>
    <row r="240" spans="13:17" x14ac:dyDescent="0.3">
      <c r="M240" s="6" t="str">
        <f t="shared" si="25"/>
        <v/>
      </c>
      <c r="N240" s="6" t="str">
        <f t="shared" si="26"/>
        <v/>
      </c>
      <c r="O240" s="6" t="str">
        <f t="shared" si="27"/>
        <v/>
      </c>
      <c r="P240" s="6" t="str">
        <f t="shared" si="28"/>
        <v/>
      </c>
      <c r="Q240" s="6" t="str">
        <f t="shared" si="29"/>
        <v/>
      </c>
    </row>
    <row r="241" spans="13:17" x14ac:dyDescent="0.3">
      <c r="M241" s="6" t="str">
        <f t="shared" si="25"/>
        <v/>
      </c>
      <c r="N241" s="6" t="str">
        <f t="shared" si="26"/>
        <v/>
      </c>
      <c r="O241" s="6" t="str">
        <f t="shared" si="27"/>
        <v/>
      </c>
      <c r="P241" s="6" t="str">
        <f t="shared" si="28"/>
        <v/>
      </c>
      <c r="Q241" s="6" t="str">
        <f t="shared" si="29"/>
        <v/>
      </c>
    </row>
    <row r="242" spans="13:17" x14ac:dyDescent="0.3">
      <c r="M242" s="6" t="str">
        <f t="shared" si="25"/>
        <v/>
      </c>
      <c r="N242" s="6" t="str">
        <f t="shared" si="26"/>
        <v/>
      </c>
      <c r="O242" s="6" t="str">
        <f t="shared" si="27"/>
        <v/>
      </c>
      <c r="P242" s="6" t="str">
        <f t="shared" si="28"/>
        <v/>
      </c>
      <c r="Q242" s="6" t="str">
        <f t="shared" si="29"/>
        <v/>
      </c>
    </row>
    <row r="243" spans="13:17" x14ac:dyDescent="0.3">
      <c r="M243" s="6" t="str">
        <f t="shared" si="25"/>
        <v/>
      </c>
      <c r="N243" s="6" t="str">
        <f t="shared" si="26"/>
        <v/>
      </c>
      <c r="O243" s="6" t="str">
        <f t="shared" si="27"/>
        <v/>
      </c>
      <c r="P243" s="6" t="str">
        <f t="shared" si="28"/>
        <v/>
      </c>
      <c r="Q243" s="6" t="str">
        <f t="shared" si="29"/>
        <v/>
      </c>
    </row>
    <row r="244" spans="13:17" x14ac:dyDescent="0.3">
      <c r="M244" s="6" t="str">
        <f t="shared" si="25"/>
        <v/>
      </c>
      <c r="N244" s="6" t="str">
        <f t="shared" si="26"/>
        <v/>
      </c>
      <c r="O244" s="6" t="str">
        <f t="shared" si="27"/>
        <v/>
      </c>
      <c r="P244" s="6" t="str">
        <f t="shared" si="28"/>
        <v/>
      </c>
      <c r="Q244" s="6" t="str">
        <f t="shared" si="29"/>
        <v/>
      </c>
    </row>
    <row r="245" spans="13:17" x14ac:dyDescent="0.3">
      <c r="M245" s="6" t="str">
        <f t="shared" si="25"/>
        <v/>
      </c>
      <c r="N245" s="6" t="str">
        <f t="shared" si="26"/>
        <v/>
      </c>
      <c r="O245" s="6" t="str">
        <f t="shared" si="27"/>
        <v/>
      </c>
      <c r="P245" s="6" t="str">
        <f t="shared" si="28"/>
        <v/>
      </c>
      <c r="Q245" s="6" t="str">
        <f t="shared" si="29"/>
        <v/>
      </c>
    </row>
    <row r="246" spans="13:17" x14ac:dyDescent="0.3">
      <c r="M246" s="6" t="str">
        <f t="shared" si="25"/>
        <v/>
      </c>
      <c r="N246" s="6" t="str">
        <f t="shared" si="26"/>
        <v/>
      </c>
      <c r="O246" s="6" t="str">
        <f t="shared" si="27"/>
        <v/>
      </c>
      <c r="P246" s="6" t="str">
        <f t="shared" si="28"/>
        <v/>
      </c>
      <c r="Q246" s="6" t="str">
        <f t="shared" si="29"/>
        <v/>
      </c>
    </row>
    <row r="247" spans="13:17" x14ac:dyDescent="0.3">
      <c r="M247" s="6" t="str">
        <f t="shared" si="25"/>
        <v/>
      </c>
      <c r="N247" s="6" t="str">
        <f t="shared" si="26"/>
        <v/>
      </c>
      <c r="O247" s="6" t="str">
        <f t="shared" si="27"/>
        <v/>
      </c>
      <c r="P247" s="6" t="str">
        <f t="shared" si="28"/>
        <v/>
      </c>
      <c r="Q247" s="6" t="str">
        <f t="shared" si="29"/>
        <v/>
      </c>
    </row>
    <row r="248" spans="13:17" x14ac:dyDescent="0.3">
      <c r="M248" s="6" t="str">
        <f t="shared" si="25"/>
        <v/>
      </c>
      <c r="N248" s="6" t="str">
        <f t="shared" si="26"/>
        <v/>
      </c>
      <c r="O248" s="6" t="str">
        <f t="shared" si="27"/>
        <v/>
      </c>
      <c r="P248" s="6" t="str">
        <f t="shared" si="28"/>
        <v/>
      </c>
      <c r="Q248" s="6" t="str">
        <f t="shared" si="29"/>
        <v/>
      </c>
    </row>
    <row r="249" spans="13:17" x14ac:dyDescent="0.3">
      <c r="M249" s="6" t="str">
        <f t="shared" si="25"/>
        <v/>
      </c>
      <c r="N249" s="6" t="str">
        <f t="shared" si="26"/>
        <v/>
      </c>
      <c r="O249" s="6" t="str">
        <f t="shared" si="27"/>
        <v/>
      </c>
      <c r="P249" s="6" t="str">
        <f t="shared" si="28"/>
        <v/>
      </c>
      <c r="Q249" s="6" t="str">
        <f t="shared" si="29"/>
        <v/>
      </c>
    </row>
    <row r="250" spans="13:17" x14ac:dyDescent="0.3">
      <c r="M250" s="6" t="str">
        <f t="shared" si="25"/>
        <v/>
      </c>
      <c r="N250" s="6" t="str">
        <f t="shared" si="26"/>
        <v/>
      </c>
      <c r="O250" s="6" t="str">
        <f t="shared" si="27"/>
        <v/>
      </c>
      <c r="P250" s="6" t="str">
        <f t="shared" si="28"/>
        <v/>
      </c>
      <c r="Q250" s="6" t="str">
        <f t="shared" si="29"/>
        <v/>
      </c>
    </row>
    <row r="251" spans="13:17" x14ac:dyDescent="0.3">
      <c r="M251" s="6" t="str">
        <f t="shared" si="25"/>
        <v/>
      </c>
      <c r="N251" s="6" t="str">
        <f t="shared" si="26"/>
        <v/>
      </c>
      <c r="O251" s="6" t="str">
        <f t="shared" si="27"/>
        <v/>
      </c>
      <c r="P251" s="6" t="str">
        <f t="shared" si="28"/>
        <v/>
      </c>
      <c r="Q251" s="6" t="str">
        <f t="shared" si="29"/>
        <v/>
      </c>
    </row>
    <row r="252" spans="13:17" x14ac:dyDescent="0.3">
      <c r="M252" s="6" t="str">
        <f t="shared" si="25"/>
        <v/>
      </c>
      <c r="N252" s="6" t="str">
        <f t="shared" si="26"/>
        <v/>
      </c>
      <c r="O252" s="6" t="str">
        <f t="shared" si="27"/>
        <v/>
      </c>
      <c r="P252" s="6" t="str">
        <f t="shared" si="28"/>
        <v/>
      </c>
      <c r="Q252" s="6" t="str">
        <f t="shared" si="29"/>
        <v/>
      </c>
    </row>
    <row r="253" spans="13:17" x14ac:dyDescent="0.3">
      <c r="M253" s="6" t="str">
        <f t="shared" si="25"/>
        <v/>
      </c>
      <c r="N253" s="6" t="str">
        <f t="shared" si="26"/>
        <v/>
      </c>
      <c r="O253" s="6" t="str">
        <f t="shared" si="27"/>
        <v/>
      </c>
      <c r="P253" s="6" t="str">
        <f t="shared" si="28"/>
        <v/>
      </c>
      <c r="Q253" s="6" t="str">
        <f t="shared" si="29"/>
        <v/>
      </c>
    </row>
    <row r="254" spans="13:17" x14ac:dyDescent="0.3">
      <c r="M254" s="6" t="str">
        <f t="shared" si="25"/>
        <v/>
      </c>
      <c r="N254" s="6" t="str">
        <f t="shared" si="26"/>
        <v/>
      </c>
      <c r="O254" s="6" t="str">
        <f t="shared" si="27"/>
        <v/>
      </c>
      <c r="P254" s="6" t="str">
        <f t="shared" si="28"/>
        <v/>
      </c>
      <c r="Q254" s="6" t="str">
        <f t="shared" si="29"/>
        <v/>
      </c>
    </row>
    <row r="255" spans="13:17" x14ac:dyDescent="0.3">
      <c r="M255" s="6" t="str">
        <f t="shared" si="25"/>
        <v/>
      </c>
      <c r="N255" s="6" t="str">
        <f t="shared" si="26"/>
        <v/>
      </c>
      <c r="O255" s="6" t="str">
        <f t="shared" si="27"/>
        <v/>
      </c>
      <c r="P255" s="6" t="str">
        <f t="shared" si="28"/>
        <v/>
      </c>
      <c r="Q255" s="6" t="str">
        <f t="shared" si="29"/>
        <v/>
      </c>
    </row>
    <row r="256" spans="13:17" x14ac:dyDescent="0.3">
      <c r="M256" s="6" t="str">
        <f t="shared" si="25"/>
        <v/>
      </c>
      <c r="N256" s="6" t="str">
        <f t="shared" si="26"/>
        <v/>
      </c>
      <c r="O256" s="6" t="str">
        <f t="shared" si="27"/>
        <v/>
      </c>
      <c r="P256" s="6" t="str">
        <f t="shared" si="28"/>
        <v/>
      </c>
      <c r="Q256" s="6" t="str">
        <f t="shared" si="29"/>
        <v/>
      </c>
    </row>
    <row r="257" spans="13:17" x14ac:dyDescent="0.3">
      <c r="M257" s="6" t="str">
        <f t="shared" si="25"/>
        <v/>
      </c>
      <c r="N257" s="6" t="str">
        <f t="shared" si="26"/>
        <v/>
      </c>
      <c r="O257" s="6" t="str">
        <f t="shared" si="27"/>
        <v/>
      </c>
      <c r="P257" s="6" t="str">
        <f t="shared" si="28"/>
        <v/>
      </c>
      <c r="Q257" s="6" t="str">
        <f t="shared" si="29"/>
        <v/>
      </c>
    </row>
    <row r="258" spans="13:17" x14ac:dyDescent="0.3">
      <c r="M258" s="6" t="str">
        <f t="shared" si="25"/>
        <v/>
      </c>
      <c r="N258" s="6" t="str">
        <f t="shared" si="26"/>
        <v/>
      </c>
      <c r="O258" s="6" t="str">
        <f t="shared" si="27"/>
        <v/>
      </c>
      <c r="P258" s="6" t="str">
        <f t="shared" si="28"/>
        <v/>
      </c>
      <c r="Q258" s="6" t="str">
        <f t="shared" si="29"/>
        <v/>
      </c>
    </row>
    <row r="259" spans="13:17" x14ac:dyDescent="0.3">
      <c r="M259" s="6" t="str">
        <f t="shared" si="25"/>
        <v/>
      </c>
      <c r="N259" s="6" t="str">
        <f t="shared" si="26"/>
        <v/>
      </c>
      <c r="O259" s="6" t="str">
        <f t="shared" si="27"/>
        <v/>
      </c>
      <c r="P259" s="6" t="str">
        <f t="shared" si="28"/>
        <v/>
      </c>
      <c r="Q259" s="6" t="str">
        <f t="shared" si="29"/>
        <v/>
      </c>
    </row>
    <row r="260" spans="13:17" x14ac:dyDescent="0.3">
      <c r="M260" s="6" t="str">
        <f t="shared" si="25"/>
        <v/>
      </c>
      <c r="N260" s="6" t="str">
        <f t="shared" si="26"/>
        <v/>
      </c>
      <c r="O260" s="6" t="str">
        <f t="shared" si="27"/>
        <v/>
      </c>
      <c r="P260" s="6" t="str">
        <f t="shared" si="28"/>
        <v/>
      </c>
      <c r="Q260" s="6" t="str">
        <f t="shared" si="29"/>
        <v/>
      </c>
    </row>
    <row r="261" spans="13:17" x14ac:dyDescent="0.3">
      <c r="M261" s="6" t="str">
        <f t="shared" si="25"/>
        <v/>
      </c>
      <c r="N261" s="6" t="str">
        <f t="shared" si="26"/>
        <v/>
      </c>
      <c r="O261" s="6" t="str">
        <f t="shared" si="27"/>
        <v/>
      </c>
      <c r="P261" s="6" t="str">
        <f t="shared" si="28"/>
        <v/>
      </c>
      <c r="Q261" s="6" t="str">
        <f t="shared" si="29"/>
        <v/>
      </c>
    </row>
    <row r="262" spans="13:17" x14ac:dyDescent="0.3">
      <c r="M262" s="6" t="str">
        <f t="shared" si="25"/>
        <v/>
      </c>
      <c r="N262" s="6" t="str">
        <f t="shared" si="26"/>
        <v/>
      </c>
      <c r="O262" s="6" t="str">
        <f t="shared" si="27"/>
        <v/>
      </c>
      <c r="P262" s="6" t="str">
        <f t="shared" si="28"/>
        <v/>
      </c>
      <c r="Q262" s="6" t="str">
        <f t="shared" si="29"/>
        <v/>
      </c>
    </row>
    <row r="263" spans="13:17" x14ac:dyDescent="0.3">
      <c r="M263" s="6" t="str">
        <f t="shared" si="25"/>
        <v/>
      </c>
      <c r="N263" s="6" t="str">
        <f t="shared" si="26"/>
        <v/>
      </c>
      <c r="O263" s="6" t="str">
        <f t="shared" si="27"/>
        <v/>
      </c>
      <c r="P263" s="6" t="str">
        <f t="shared" si="28"/>
        <v/>
      </c>
      <c r="Q263" s="6" t="str">
        <f t="shared" si="29"/>
        <v/>
      </c>
    </row>
    <row r="264" spans="13:17" x14ac:dyDescent="0.3">
      <c r="M264" s="6" t="str">
        <f t="shared" si="25"/>
        <v/>
      </c>
      <c r="N264" s="6" t="str">
        <f t="shared" si="26"/>
        <v/>
      </c>
      <c r="O264" s="6" t="str">
        <f t="shared" si="27"/>
        <v/>
      </c>
      <c r="P264" s="6" t="str">
        <f t="shared" si="28"/>
        <v/>
      </c>
      <c r="Q264" s="6" t="str">
        <f t="shared" si="29"/>
        <v/>
      </c>
    </row>
    <row r="265" spans="13:17" x14ac:dyDescent="0.3">
      <c r="M265" s="6" t="str">
        <f t="shared" si="25"/>
        <v/>
      </c>
      <c r="N265" s="6" t="str">
        <f t="shared" si="26"/>
        <v/>
      </c>
      <c r="O265" s="6" t="str">
        <f t="shared" si="27"/>
        <v/>
      </c>
      <c r="P265" s="6" t="str">
        <f t="shared" si="28"/>
        <v/>
      </c>
      <c r="Q265" s="6" t="str">
        <f t="shared" si="29"/>
        <v/>
      </c>
    </row>
    <row r="266" spans="13:17" x14ac:dyDescent="0.3">
      <c r="M266" s="6" t="str">
        <f t="shared" si="25"/>
        <v/>
      </c>
      <c r="N266" s="6" t="str">
        <f t="shared" si="26"/>
        <v/>
      </c>
      <c r="O266" s="6" t="str">
        <f t="shared" si="27"/>
        <v/>
      </c>
      <c r="P266" s="6" t="str">
        <f t="shared" si="28"/>
        <v/>
      </c>
      <c r="Q266" s="6" t="str">
        <f t="shared" si="29"/>
        <v/>
      </c>
    </row>
    <row r="267" spans="13:17" x14ac:dyDescent="0.3">
      <c r="M267" s="6" t="str">
        <f t="shared" si="25"/>
        <v/>
      </c>
      <c r="N267" s="6" t="str">
        <f t="shared" si="26"/>
        <v/>
      </c>
      <c r="O267" s="6" t="str">
        <f t="shared" si="27"/>
        <v/>
      </c>
      <c r="P267" s="6" t="str">
        <f t="shared" si="28"/>
        <v/>
      </c>
      <c r="Q267" s="6" t="str">
        <f t="shared" si="29"/>
        <v/>
      </c>
    </row>
    <row r="268" spans="13:17" x14ac:dyDescent="0.3">
      <c r="M268" s="6" t="str">
        <f t="shared" ref="M268:M331" si="30">IF(OR(I268="",F268=""),"",IF(OR(I268&lt;=0,F268&lt;=0),"",0.95*((I268^3)/F268)^0.385))</f>
        <v/>
      </c>
      <c r="N268" s="6" t="str">
        <f t="shared" ref="N268:N331" si="31">IF(OR(B268="",I268="",G268="",D268=""),"",IF(OR(B268&lt;=0,I268&lt;=0,G268&lt;=D268),"",(4*SQRT(B268)+1.5*I268)/(0.8*SQRT(G268-D268))))</f>
        <v/>
      </c>
      <c r="O268" s="6" t="str">
        <f t="shared" ref="O268:O331" si="32">IF(OR(I268="",C268="",H268=""),"",IF(OR(I268&lt;=0,H268&lt;=0,C268&lt;=0,C268&gt;100),"",((100*((I268*1000/0.3048)^0.8)*(((1000/C268)-9)^0.7))/(1900*SQRT(H268*100)))/60))</f>
        <v/>
      </c>
      <c r="P268" s="6" t="str">
        <f t="shared" ref="P268:P331" si="33">IF(OR(I268="",H268=""),"",IF(OR(I268&lt;=0,H268&lt;=0),"",(18*(I268^0.76)/(H268^0.19))/60))</f>
        <v/>
      </c>
      <c r="Q268" s="6" t="str">
        <f t="shared" ref="Q268:Q331" si="34">IF(OR(I268="",K268=""),"",IF(OR(I268&lt;=0,K268&lt;=0),"",I268/(3.6*K268)))</f>
        <v/>
      </c>
    </row>
    <row r="269" spans="13:17" x14ac:dyDescent="0.3">
      <c r="M269" s="6" t="str">
        <f t="shared" si="30"/>
        <v/>
      </c>
      <c r="N269" s="6" t="str">
        <f t="shared" si="31"/>
        <v/>
      </c>
      <c r="O269" s="6" t="str">
        <f t="shared" si="32"/>
        <v/>
      </c>
      <c r="P269" s="6" t="str">
        <f t="shared" si="33"/>
        <v/>
      </c>
      <c r="Q269" s="6" t="str">
        <f t="shared" si="34"/>
        <v/>
      </c>
    </row>
    <row r="270" spans="13:17" x14ac:dyDescent="0.3">
      <c r="M270" s="6" t="str">
        <f t="shared" si="30"/>
        <v/>
      </c>
      <c r="N270" s="6" t="str">
        <f t="shared" si="31"/>
        <v/>
      </c>
      <c r="O270" s="6" t="str">
        <f t="shared" si="32"/>
        <v/>
      </c>
      <c r="P270" s="6" t="str">
        <f t="shared" si="33"/>
        <v/>
      </c>
      <c r="Q270" s="6" t="str">
        <f t="shared" si="34"/>
        <v/>
      </c>
    </row>
    <row r="271" spans="13:17" x14ac:dyDescent="0.3">
      <c r="M271" s="6" t="str">
        <f t="shared" si="30"/>
        <v/>
      </c>
      <c r="N271" s="6" t="str">
        <f t="shared" si="31"/>
        <v/>
      </c>
      <c r="O271" s="6" t="str">
        <f t="shared" si="32"/>
        <v/>
      </c>
      <c r="P271" s="6" t="str">
        <f t="shared" si="33"/>
        <v/>
      </c>
      <c r="Q271" s="6" t="str">
        <f t="shared" si="34"/>
        <v/>
      </c>
    </row>
    <row r="272" spans="13:17" x14ac:dyDescent="0.3">
      <c r="M272" s="6" t="str">
        <f t="shared" si="30"/>
        <v/>
      </c>
      <c r="N272" s="6" t="str">
        <f t="shared" si="31"/>
        <v/>
      </c>
      <c r="O272" s="6" t="str">
        <f t="shared" si="32"/>
        <v/>
      </c>
      <c r="P272" s="6" t="str">
        <f t="shared" si="33"/>
        <v/>
      </c>
      <c r="Q272" s="6" t="str">
        <f t="shared" si="34"/>
        <v/>
      </c>
    </row>
    <row r="273" spans="13:17" x14ac:dyDescent="0.3">
      <c r="M273" s="6" t="str">
        <f t="shared" si="30"/>
        <v/>
      </c>
      <c r="N273" s="6" t="str">
        <f t="shared" si="31"/>
        <v/>
      </c>
      <c r="O273" s="6" t="str">
        <f t="shared" si="32"/>
        <v/>
      </c>
      <c r="P273" s="6" t="str">
        <f t="shared" si="33"/>
        <v/>
      </c>
      <c r="Q273" s="6" t="str">
        <f t="shared" si="34"/>
        <v/>
      </c>
    </row>
    <row r="274" spans="13:17" x14ac:dyDescent="0.3">
      <c r="M274" s="6" t="str">
        <f t="shared" si="30"/>
        <v/>
      </c>
      <c r="N274" s="6" t="str">
        <f t="shared" si="31"/>
        <v/>
      </c>
      <c r="O274" s="6" t="str">
        <f t="shared" si="32"/>
        <v/>
      </c>
      <c r="P274" s="6" t="str">
        <f t="shared" si="33"/>
        <v/>
      </c>
      <c r="Q274" s="6" t="str">
        <f t="shared" si="34"/>
        <v/>
      </c>
    </row>
    <row r="275" spans="13:17" x14ac:dyDescent="0.3">
      <c r="M275" s="6" t="str">
        <f t="shared" si="30"/>
        <v/>
      </c>
      <c r="N275" s="6" t="str">
        <f t="shared" si="31"/>
        <v/>
      </c>
      <c r="O275" s="6" t="str">
        <f t="shared" si="32"/>
        <v/>
      </c>
      <c r="P275" s="6" t="str">
        <f t="shared" si="33"/>
        <v/>
      </c>
      <c r="Q275" s="6" t="str">
        <f t="shared" si="34"/>
        <v/>
      </c>
    </row>
    <row r="276" spans="13:17" x14ac:dyDescent="0.3">
      <c r="M276" s="6" t="str">
        <f t="shared" si="30"/>
        <v/>
      </c>
      <c r="N276" s="6" t="str">
        <f t="shared" si="31"/>
        <v/>
      </c>
      <c r="O276" s="6" t="str">
        <f t="shared" si="32"/>
        <v/>
      </c>
      <c r="P276" s="6" t="str">
        <f t="shared" si="33"/>
        <v/>
      </c>
      <c r="Q276" s="6" t="str">
        <f t="shared" si="34"/>
        <v/>
      </c>
    </row>
    <row r="277" spans="13:17" x14ac:dyDescent="0.3">
      <c r="M277" s="6" t="str">
        <f t="shared" si="30"/>
        <v/>
      </c>
      <c r="N277" s="6" t="str">
        <f t="shared" si="31"/>
        <v/>
      </c>
      <c r="O277" s="6" t="str">
        <f t="shared" si="32"/>
        <v/>
      </c>
      <c r="P277" s="6" t="str">
        <f t="shared" si="33"/>
        <v/>
      </c>
      <c r="Q277" s="6" t="str">
        <f t="shared" si="34"/>
        <v/>
      </c>
    </row>
    <row r="278" spans="13:17" x14ac:dyDescent="0.3">
      <c r="M278" s="6" t="str">
        <f t="shared" si="30"/>
        <v/>
      </c>
      <c r="N278" s="6" t="str">
        <f t="shared" si="31"/>
        <v/>
      </c>
      <c r="O278" s="6" t="str">
        <f t="shared" si="32"/>
        <v/>
      </c>
      <c r="P278" s="6" t="str">
        <f t="shared" si="33"/>
        <v/>
      </c>
      <c r="Q278" s="6" t="str">
        <f t="shared" si="34"/>
        <v/>
      </c>
    </row>
    <row r="279" spans="13:17" x14ac:dyDescent="0.3">
      <c r="M279" s="6" t="str">
        <f t="shared" si="30"/>
        <v/>
      </c>
      <c r="N279" s="6" t="str">
        <f t="shared" si="31"/>
        <v/>
      </c>
      <c r="O279" s="6" t="str">
        <f t="shared" si="32"/>
        <v/>
      </c>
      <c r="P279" s="6" t="str">
        <f t="shared" si="33"/>
        <v/>
      </c>
      <c r="Q279" s="6" t="str">
        <f t="shared" si="34"/>
        <v/>
      </c>
    </row>
    <row r="280" spans="13:17" x14ac:dyDescent="0.3">
      <c r="M280" s="6" t="str">
        <f t="shared" si="30"/>
        <v/>
      </c>
      <c r="N280" s="6" t="str">
        <f t="shared" si="31"/>
        <v/>
      </c>
      <c r="O280" s="6" t="str">
        <f t="shared" si="32"/>
        <v/>
      </c>
      <c r="P280" s="6" t="str">
        <f t="shared" si="33"/>
        <v/>
      </c>
      <c r="Q280" s="6" t="str">
        <f t="shared" si="34"/>
        <v/>
      </c>
    </row>
    <row r="281" spans="13:17" x14ac:dyDescent="0.3">
      <c r="M281" s="6" t="str">
        <f t="shared" si="30"/>
        <v/>
      </c>
      <c r="N281" s="6" t="str">
        <f t="shared" si="31"/>
        <v/>
      </c>
      <c r="O281" s="6" t="str">
        <f t="shared" si="32"/>
        <v/>
      </c>
      <c r="P281" s="6" t="str">
        <f t="shared" si="33"/>
        <v/>
      </c>
      <c r="Q281" s="6" t="str">
        <f t="shared" si="34"/>
        <v/>
      </c>
    </row>
    <row r="282" spans="13:17" x14ac:dyDescent="0.3">
      <c r="M282" s="6" t="str">
        <f t="shared" si="30"/>
        <v/>
      </c>
      <c r="N282" s="6" t="str">
        <f t="shared" si="31"/>
        <v/>
      </c>
      <c r="O282" s="6" t="str">
        <f t="shared" si="32"/>
        <v/>
      </c>
      <c r="P282" s="6" t="str">
        <f t="shared" si="33"/>
        <v/>
      </c>
      <c r="Q282" s="6" t="str">
        <f t="shared" si="34"/>
        <v/>
      </c>
    </row>
    <row r="283" spans="13:17" x14ac:dyDescent="0.3">
      <c r="M283" s="6" t="str">
        <f t="shared" si="30"/>
        <v/>
      </c>
      <c r="N283" s="6" t="str">
        <f t="shared" si="31"/>
        <v/>
      </c>
      <c r="O283" s="6" t="str">
        <f t="shared" si="32"/>
        <v/>
      </c>
      <c r="P283" s="6" t="str">
        <f t="shared" si="33"/>
        <v/>
      </c>
      <c r="Q283" s="6" t="str">
        <f t="shared" si="34"/>
        <v/>
      </c>
    </row>
    <row r="284" spans="13:17" x14ac:dyDescent="0.3">
      <c r="M284" s="6" t="str">
        <f t="shared" si="30"/>
        <v/>
      </c>
      <c r="N284" s="6" t="str">
        <f t="shared" si="31"/>
        <v/>
      </c>
      <c r="O284" s="6" t="str">
        <f t="shared" si="32"/>
        <v/>
      </c>
      <c r="P284" s="6" t="str">
        <f t="shared" si="33"/>
        <v/>
      </c>
      <c r="Q284" s="6" t="str">
        <f t="shared" si="34"/>
        <v/>
      </c>
    </row>
    <row r="285" spans="13:17" x14ac:dyDescent="0.3">
      <c r="M285" s="6" t="str">
        <f t="shared" si="30"/>
        <v/>
      </c>
      <c r="N285" s="6" t="str">
        <f t="shared" si="31"/>
        <v/>
      </c>
      <c r="O285" s="6" t="str">
        <f t="shared" si="32"/>
        <v/>
      </c>
      <c r="P285" s="6" t="str">
        <f t="shared" si="33"/>
        <v/>
      </c>
      <c r="Q285" s="6" t="str">
        <f t="shared" si="34"/>
        <v/>
      </c>
    </row>
    <row r="286" spans="13:17" x14ac:dyDescent="0.3">
      <c r="M286" s="6" t="str">
        <f t="shared" si="30"/>
        <v/>
      </c>
      <c r="N286" s="6" t="str">
        <f t="shared" si="31"/>
        <v/>
      </c>
      <c r="O286" s="6" t="str">
        <f t="shared" si="32"/>
        <v/>
      </c>
      <c r="P286" s="6" t="str">
        <f t="shared" si="33"/>
        <v/>
      </c>
      <c r="Q286" s="6" t="str">
        <f t="shared" si="34"/>
        <v/>
      </c>
    </row>
    <row r="287" spans="13:17" x14ac:dyDescent="0.3">
      <c r="M287" s="6" t="str">
        <f t="shared" si="30"/>
        <v/>
      </c>
      <c r="N287" s="6" t="str">
        <f t="shared" si="31"/>
        <v/>
      </c>
      <c r="O287" s="6" t="str">
        <f t="shared" si="32"/>
        <v/>
      </c>
      <c r="P287" s="6" t="str">
        <f t="shared" si="33"/>
        <v/>
      </c>
      <c r="Q287" s="6" t="str">
        <f t="shared" si="34"/>
        <v/>
      </c>
    </row>
    <row r="288" spans="13:17" x14ac:dyDescent="0.3">
      <c r="M288" s="6" t="str">
        <f t="shared" si="30"/>
        <v/>
      </c>
      <c r="N288" s="6" t="str">
        <f t="shared" si="31"/>
        <v/>
      </c>
      <c r="O288" s="6" t="str">
        <f t="shared" si="32"/>
        <v/>
      </c>
      <c r="P288" s="6" t="str">
        <f t="shared" si="33"/>
        <v/>
      </c>
      <c r="Q288" s="6" t="str">
        <f t="shared" si="34"/>
        <v/>
      </c>
    </row>
    <row r="289" spans="13:17" x14ac:dyDescent="0.3">
      <c r="M289" s="6" t="str">
        <f t="shared" si="30"/>
        <v/>
      </c>
      <c r="N289" s="6" t="str">
        <f t="shared" si="31"/>
        <v/>
      </c>
      <c r="O289" s="6" t="str">
        <f t="shared" si="32"/>
        <v/>
      </c>
      <c r="P289" s="6" t="str">
        <f t="shared" si="33"/>
        <v/>
      </c>
      <c r="Q289" s="6" t="str">
        <f t="shared" si="34"/>
        <v/>
      </c>
    </row>
    <row r="290" spans="13:17" x14ac:dyDescent="0.3">
      <c r="M290" s="6" t="str">
        <f t="shared" si="30"/>
        <v/>
      </c>
      <c r="N290" s="6" t="str">
        <f t="shared" si="31"/>
        <v/>
      </c>
      <c r="O290" s="6" t="str">
        <f t="shared" si="32"/>
        <v/>
      </c>
      <c r="P290" s="6" t="str">
        <f t="shared" si="33"/>
        <v/>
      </c>
      <c r="Q290" s="6" t="str">
        <f t="shared" si="34"/>
        <v/>
      </c>
    </row>
    <row r="291" spans="13:17" x14ac:dyDescent="0.3">
      <c r="M291" s="6" t="str">
        <f t="shared" si="30"/>
        <v/>
      </c>
      <c r="N291" s="6" t="str">
        <f t="shared" si="31"/>
        <v/>
      </c>
      <c r="O291" s="6" t="str">
        <f t="shared" si="32"/>
        <v/>
      </c>
      <c r="P291" s="6" t="str">
        <f t="shared" si="33"/>
        <v/>
      </c>
      <c r="Q291" s="6" t="str">
        <f t="shared" si="34"/>
        <v/>
      </c>
    </row>
    <row r="292" spans="13:17" x14ac:dyDescent="0.3">
      <c r="M292" s="6" t="str">
        <f t="shared" si="30"/>
        <v/>
      </c>
      <c r="N292" s="6" t="str">
        <f t="shared" si="31"/>
        <v/>
      </c>
      <c r="O292" s="6" t="str">
        <f t="shared" si="32"/>
        <v/>
      </c>
      <c r="P292" s="6" t="str">
        <f t="shared" si="33"/>
        <v/>
      </c>
      <c r="Q292" s="6" t="str">
        <f t="shared" si="34"/>
        <v/>
      </c>
    </row>
    <row r="293" spans="13:17" x14ac:dyDescent="0.3">
      <c r="M293" s="6" t="str">
        <f t="shared" si="30"/>
        <v/>
      </c>
      <c r="N293" s="6" t="str">
        <f t="shared" si="31"/>
        <v/>
      </c>
      <c r="O293" s="6" t="str">
        <f t="shared" si="32"/>
        <v/>
      </c>
      <c r="P293" s="6" t="str">
        <f t="shared" si="33"/>
        <v/>
      </c>
      <c r="Q293" s="6" t="str">
        <f t="shared" si="34"/>
        <v/>
      </c>
    </row>
    <row r="294" spans="13:17" x14ac:dyDescent="0.3">
      <c r="M294" s="6" t="str">
        <f t="shared" si="30"/>
        <v/>
      </c>
      <c r="N294" s="6" t="str">
        <f t="shared" si="31"/>
        <v/>
      </c>
      <c r="O294" s="6" t="str">
        <f t="shared" si="32"/>
        <v/>
      </c>
      <c r="P294" s="6" t="str">
        <f t="shared" si="33"/>
        <v/>
      </c>
      <c r="Q294" s="6" t="str">
        <f t="shared" si="34"/>
        <v/>
      </c>
    </row>
    <row r="295" spans="13:17" x14ac:dyDescent="0.3">
      <c r="M295" s="6" t="str">
        <f t="shared" si="30"/>
        <v/>
      </c>
      <c r="N295" s="6" t="str">
        <f t="shared" si="31"/>
        <v/>
      </c>
      <c r="O295" s="6" t="str">
        <f t="shared" si="32"/>
        <v/>
      </c>
      <c r="P295" s="6" t="str">
        <f t="shared" si="33"/>
        <v/>
      </c>
      <c r="Q295" s="6" t="str">
        <f t="shared" si="34"/>
        <v/>
      </c>
    </row>
    <row r="296" spans="13:17" x14ac:dyDescent="0.3">
      <c r="M296" s="6" t="str">
        <f t="shared" si="30"/>
        <v/>
      </c>
      <c r="N296" s="6" t="str">
        <f t="shared" si="31"/>
        <v/>
      </c>
      <c r="O296" s="6" t="str">
        <f t="shared" si="32"/>
        <v/>
      </c>
      <c r="P296" s="6" t="str">
        <f t="shared" si="33"/>
        <v/>
      </c>
      <c r="Q296" s="6" t="str">
        <f t="shared" si="34"/>
        <v/>
      </c>
    </row>
    <row r="297" spans="13:17" x14ac:dyDescent="0.3">
      <c r="M297" s="6" t="str">
        <f t="shared" si="30"/>
        <v/>
      </c>
      <c r="N297" s="6" t="str">
        <f t="shared" si="31"/>
        <v/>
      </c>
      <c r="O297" s="6" t="str">
        <f t="shared" si="32"/>
        <v/>
      </c>
      <c r="P297" s="6" t="str">
        <f t="shared" si="33"/>
        <v/>
      </c>
      <c r="Q297" s="6" t="str">
        <f t="shared" si="34"/>
        <v/>
      </c>
    </row>
    <row r="298" spans="13:17" x14ac:dyDescent="0.3">
      <c r="M298" s="6" t="str">
        <f t="shared" si="30"/>
        <v/>
      </c>
      <c r="N298" s="6" t="str">
        <f t="shared" si="31"/>
        <v/>
      </c>
      <c r="O298" s="6" t="str">
        <f t="shared" si="32"/>
        <v/>
      </c>
      <c r="P298" s="6" t="str">
        <f t="shared" si="33"/>
        <v/>
      </c>
      <c r="Q298" s="6" t="str">
        <f t="shared" si="34"/>
        <v/>
      </c>
    </row>
    <row r="299" spans="13:17" x14ac:dyDescent="0.3">
      <c r="M299" s="6" t="str">
        <f t="shared" si="30"/>
        <v/>
      </c>
      <c r="N299" s="6" t="str">
        <f t="shared" si="31"/>
        <v/>
      </c>
      <c r="O299" s="6" t="str">
        <f t="shared" si="32"/>
        <v/>
      </c>
      <c r="P299" s="6" t="str">
        <f t="shared" si="33"/>
        <v/>
      </c>
      <c r="Q299" s="6" t="str">
        <f t="shared" si="34"/>
        <v/>
      </c>
    </row>
    <row r="300" spans="13:17" x14ac:dyDescent="0.3">
      <c r="M300" s="6" t="str">
        <f t="shared" si="30"/>
        <v/>
      </c>
      <c r="N300" s="6" t="str">
        <f t="shared" si="31"/>
        <v/>
      </c>
      <c r="O300" s="6" t="str">
        <f t="shared" si="32"/>
        <v/>
      </c>
      <c r="P300" s="6" t="str">
        <f t="shared" si="33"/>
        <v/>
      </c>
      <c r="Q300" s="6" t="str">
        <f t="shared" si="34"/>
        <v/>
      </c>
    </row>
    <row r="301" spans="13:17" x14ac:dyDescent="0.3">
      <c r="M301" s="6" t="str">
        <f t="shared" si="30"/>
        <v/>
      </c>
      <c r="N301" s="6" t="str">
        <f t="shared" si="31"/>
        <v/>
      </c>
      <c r="O301" s="6" t="str">
        <f t="shared" si="32"/>
        <v/>
      </c>
      <c r="P301" s="6" t="str">
        <f t="shared" si="33"/>
        <v/>
      </c>
      <c r="Q301" s="6" t="str">
        <f t="shared" si="34"/>
        <v/>
      </c>
    </row>
    <row r="302" spans="13:17" x14ac:dyDescent="0.3">
      <c r="M302" s="6" t="str">
        <f t="shared" si="30"/>
        <v/>
      </c>
      <c r="N302" s="6" t="str">
        <f t="shared" si="31"/>
        <v/>
      </c>
      <c r="O302" s="6" t="str">
        <f t="shared" si="32"/>
        <v/>
      </c>
      <c r="P302" s="6" t="str">
        <f t="shared" si="33"/>
        <v/>
      </c>
      <c r="Q302" s="6" t="str">
        <f t="shared" si="34"/>
        <v/>
      </c>
    </row>
    <row r="303" spans="13:17" x14ac:dyDescent="0.3">
      <c r="M303" s="6" t="str">
        <f t="shared" si="30"/>
        <v/>
      </c>
      <c r="N303" s="6" t="str">
        <f t="shared" si="31"/>
        <v/>
      </c>
      <c r="O303" s="6" t="str">
        <f t="shared" si="32"/>
        <v/>
      </c>
      <c r="P303" s="6" t="str">
        <f t="shared" si="33"/>
        <v/>
      </c>
      <c r="Q303" s="6" t="str">
        <f t="shared" si="34"/>
        <v/>
      </c>
    </row>
    <row r="304" spans="13:17" x14ac:dyDescent="0.3">
      <c r="M304" s="6" t="str">
        <f t="shared" si="30"/>
        <v/>
      </c>
      <c r="N304" s="6" t="str">
        <f t="shared" si="31"/>
        <v/>
      </c>
      <c r="O304" s="6" t="str">
        <f t="shared" si="32"/>
        <v/>
      </c>
      <c r="P304" s="6" t="str">
        <f t="shared" si="33"/>
        <v/>
      </c>
      <c r="Q304" s="6" t="str">
        <f t="shared" si="34"/>
        <v/>
      </c>
    </row>
    <row r="305" spans="13:17" x14ac:dyDescent="0.3">
      <c r="M305" s="6" t="str">
        <f t="shared" si="30"/>
        <v/>
      </c>
      <c r="N305" s="6" t="str">
        <f t="shared" si="31"/>
        <v/>
      </c>
      <c r="O305" s="6" t="str">
        <f t="shared" si="32"/>
        <v/>
      </c>
      <c r="P305" s="6" t="str">
        <f t="shared" si="33"/>
        <v/>
      </c>
      <c r="Q305" s="6" t="str">
        <f t="shared" si="34"/>
        <v/>
      </c>
    </row>
    <row r="306" spans="13:17" x14ac:dyDescent="0.3">
      <c r="M306" s="6" t="str">
        <f t="shared" si="30"/>
        <v/>
      </c>
      <c r="N306" s="6" t="str">
        <f t="shared" si="31"/>
        <v/>
      </c>
      <c r="O306" s="6" t="str">
        <f t="shared" si="32"/>
        <v/>
      </c>
      <c r="P306" s="6" t="str">
        <f t="shared" si="33"/>
        <v/>
      </c>
      <c r="Q306" s="6" t="str">
        <f t="shared" si="34"/>
        <v/>
      </c>
    </row>
    <row r="307" spans="13:17" x14ac:dyDescent="0.3">
      <c r="M307" s="6" t="str">
        <f t="shared" si="30"/>
        <v/>
      </c>
      <c r="N307" s="6" t="str">
        <f t="shared" si="31"/>
        <v/>
      </c>
      <c r="O307" s="6" t="str">
        <f t="shared" si="32"/>
        <v/>
      </c>
      <c r="P307" s="6" t="str">
        <f t="shared" si="33"/>
        <v/>
      </c>
      <c r="Q307" s="6" t="str">
        <f t="shared" si="34"/>
        <v/>
      </c>
    </row>
    <row r="308" spans="13:17" x14ac:dyDescent="0.3">
      <c r="M308" s="6" t="str">
        <f t="shared" si="30"/>
        <v/>
      </c>
      <c r="N308" s="6" t="str">
        <f t="shared" si="31"/>
        <v/>
      </c>
      <c r="O308" s="6" t="str">
        <f t="shared" si="32"/>
        <v/>
      </c>
      <c r="P308" s="6" t="str">
        <f t="shared" si="33"/>
        <v/>
      </c>
      <c r="Q308" s="6" t="str">
        <f t="shared" si="34"/>
        <v/>
      </c>
    </row>
    <row r="309" spans="13:17" x14ac:dyDescent="0.3">
      <c r="M309" s="6" t="str">
        <f t="shared" si="30"/>
        <v/>
      </c>
      <c r="N309" s="6" t="str">
        <f t="shared" si="31"/>
        <v/>
      </c>
      <c r="O309" s="6" t="str">
        <f t="shared" si="32"/>
        <v/>
      </c>
      <c r="P309" s="6" t="str">
        <f t="shared" si="33"/>
        <v/>
      </c>
      <c r="Q309" s="6" t="str">
        <f t="shared" si="34"/>
        <v/>
      </c>
    </row>
    <row r="310" spans="13:17" x14ac:dyDescent="0.3">
      <c r="M310" s="6" t="str">
        <f t="shared" si="30"/>
        <v/>
      </c>
      <c r="N310" s="6" t="str">
        <f t="shared" si="31"/>
        <v/>
      </c>
      <c r="O310" s="6" t="str">
        <f t="shared" si="32"/>
        <v/>
      </c>
      <c r="P310" s="6" t="str">
        <f t="shared" si="33"/>
        <v/>
      </c>
      <c r="Q310" s="6" t="str">
        <f t="shared" si="34"/>
        <v/>
      </c>
    </row>
    <row r="311" spans="13:17" x14ac:dyDescent="0.3">
      <c r="M311" s="6" t="str">
        <f t="shared" si="30"/>
        <v/>
      </c>
      <c r="N311" s="6" t="str">
        <f t="shared" si="31"/>
        <v/>
      </c>
      <c r="O311" s="6" t="str">
        <f t="shared" si="32"/>
        <v/>
      </c>
      <c r="P311" s="6" t="str">
        <f t="shared" si="33"/>
        <v/>
      </c>
      <c r="Q311" s="6" t="str">
        <f t="shared" si="34"/>
        <v/>
      </c>
    </row>
    <row r="312" spans="13:17" x14ac:dyDescent="0.3">
      <c r="M312" s="6" t="str">
        <f t="shared" si="30"/>
        <v/>
      </c>
      <c r="N312" s="6" t="str">
        <f t="shared" si="31"/>
        <v/>
      </c>
      <c r="O312" s="6" t="str">
        <f t="shared" si="32"/>
        <v/>
      </c>
      <c r="P312" s="6" t="str">
        <f t="shared" si="33"/>
        <v/>
      </c>
      <c r="Q312" s="6" t="str">
        <f t="shared" si="34"/>
        <v/>
      </c>
    </row>
    <row r="313" spans="13:17" x14ac:dyDescent="0.3">
      <c r="M313" s="6" t="str">
        <f t="shared" si="30"/>
        <v/>
      </c>
      <c r="N313" s="6" t="str">
        <f t="shared" si="31"/>
        <v/>
      </c>
      <c r="O313" s="6" t="str">
        <f t="shared" si="32"/>
        <v/>
      </c>
      <c r="P313" s="6" t="str">
        <f t="shared" si="33"/>
        <v/>
      </c>
      <c r="Q313" s="6" t="str">
        <f t="shared" si="34"/>
        <v/>
      </c>
    </row>
    <row r="314" spans="13:17" x14ac:dyDescent="0.3">
      <c r="M314" s="6" t="str">
        <f t="shared" si="30"/>
        <v/>
      </c>
      <c r="N314" s="6" t="str">
        <f t="shared" si="31"/>
        <v/>
      </c>
      <c r="O314" s="6" t="str">
        <f t="shared" si="32"/>
        <v/>
      </c>
      <c r="P314" s="6" t="str">
        <f t="shared" si="33"/>
        <v/>
      </c>
      <c r="Q314" s="6" t="str">
        <f t="shared" si="34"/>
        <v/>
      </c>
    </row>
    <row r="315" spans="13:17" x14ac:dyDescent="0.3">
      <c r="M315" s="6" t="str">
        <f t="shared" si="30"/>
        <v/>
      </c>
      <c r="N315" s="6" t="str">
        <f t="shared" si="31"/>
        <v/>
      </c>
      <c r="O315" s="6" t="str">
        <f t="shared" si="32"/>
        <v/>
      </c>
      <c r="P315" s="6" t="str">
        <f t="shared" si="33"/>
        <v/>
      </c>
      <c r="Q315" s="6" t="str">
        <f t="shared" si="34"/>
        <v/>
      </c>
    </row>
    <row r="316" spans="13:17" x14ac:dyDescent="0.3">
      <c r="M316" s="6" t="str">
        <f t="shared" si="30"/>
        <v/>
      </c>
      <c r="N316" s="6" t="str">
        <f t="shared" si="31"/>
        <v/>
      </c>
      <c r="O316" s="6" t="str">
        <f t="shared" si="32"/>
        <v/>
      </c>
      <c r="P316" s="6" t="str">
        <f t="shared" si="33"/>
        <v/>
      </c>
      <c r="Q316" s="6" t="str">
        <f t="shared" si="34"/>
        <v/>
      </c>
    </row>
    <row r="317" spans="13:17" x14ac:dyDescent="0.3">
      <c r="M317" s="6" t="str">
        <f t="shared" si="30"/>
        <v/>
      </c>
      <c r="N317" s="6" t="str">
        <f t="shared" si="31"/>
        <v/>
      </c>
      <c r="O317" s="6" t="str">
        <f t="shared" si="32"/>
        <v/>
      </c>
      <c r="P317" s="6" t="str">
        <f t="shared" si="33"/>
        <v/>
      </c>
      <c r="Q317" s="6" t="str">
        <f t="shared" si="34"/>
        <v/>
      </c>
    </row>
    <row r="318" spans="13:17" x14ac:dyDescent="0.3">
      <c r="M318" s="6" t="str">
        <f t="shared" si="30"/>
        <v/>
      </c>
      <c r="N318" s="6" t="str">
        <f t="shared" si="31"/>
        <v/>
      </c>
      <c r="O318" s="6" t="str">
        <f t="shared" si="32"/>
        <v/>
      </c>
      <c r="P318" s="6" t="str">
        <f t="shared" si="33"/>
        <v/>
      </c>
      <c r="Q318" s="6" t="str">
        <f t="shared" si="34"/>
        <v/>
      </c>
    </row>
    <row r="319" spans="13:17" x14ac:dyDescent="0.3">
      <c r="M319" s="6" t="str">
        <f t="shared" si="30"/>
        <v/>
      </c>
      <c r="N319" s="6" t="str">
        <f t="shared" si="31"/>
        <v/>
      </c>
      <c r="O319" s="6" t="str">
        <f t="shared" si="32"/>
        <v/>
      </c>
      <c r="P319" s="6" t="str">
        <f t="shared" si="33"/>
        <v/>
      </c>
      <c r="Q319" s="6" t="str">
        <f t="shared" si="34"/>
        <v/>
      </c>
    </row>
    <row r="320" spans="13:17" x14ac:dyDescent="0.3">
      <c r="M320" s="6" t="str">
        <f t="shared" si="30"/>
        <v/>
      </c>
      <c r="N320" s="6" t="str">
        <f t="shared" si="31"/>
        <v/>
      </c>
      <c r="O320" s="6" t="str">
        <f t="shared" si="32"/>
        <v/>
      </c>
      <c r="P320" s="6" t="str">
        <f t="shared" si="33"/>
        <v/>
      </c>
      <c r="Q320" s="6" t="str">
        <f t="shared" si="34"/>
        <v/>
      </c>
    </row>
    <row r="321" spans="13:17" x14ac:dyDescent="0.3">
      <c r="M321" s="6" t="str">
        <f t="shared" si="30"/>
        <v/>
      </c>
      <c r="N321" s="6" t="str">
        <f t="shared" si="31"/>
        <v/>
      </c>
      <c r="O321" s="6" t="str">
        <f t="shared" si="32"/>
        <v/>
      </c>
      <c r="P321" s="6" t="str">
        <f t="shared" si="33"/>
        <v/>
      </c>
      <c r="Q321" s="6" t="str">
        <f t="shared" si="34"/>
        <v/>
      </c>
    </row>
    <row r="322" spans="13:17" x14ac:dyDescent="0.3">
      <c r="M322" s="6" t="str">
        <f t="shared" si="30"/>
        <v/>
      </c>
      <c r="N322" s="6" t="str">
        <f t="shared" si="31"/>
        <v/>
      </c>
      <c r="O322" s="6" t="str">
        <f t="shared" si="32"/>
        <v/>
      </c>
      <c r="P322" s="6" t="str">
        <f t="shared" si="33"/>
        <v/>
      </c>
      <c r="Q322" s="6" t="str">
        <f t="shared" si="34"/>
        <v/>
      </c>
    </row>
    <row r="323" spans="13:17" x14ac:dyDescent="0.3">
      <c r="M323" s="6" t="str">
        <f t="shared" si="30"/>
        <v/>
      </c>
      <c r="N323" s="6" t="str">
        <f t="shared" si="31"/>
        <v/>
      </c>
      <c r="O323" s="6" t="str">
        <f t="shared" si="32"/>
        <v/>
      </c>
      <c r="P323" s="6" t="str">
        <f t="shared" si="33"/>
        <v/>
      </c>
      <c r="Q323" s="6" t="str">
        <f t="shared" si="34"/>
        <v/>
      </c>
    </row>
    <row r="324" spans="13:17" x14ac:dyDescent="0.3">
      <c r="M324" s="6" t="str">
        <f t="shared" si="30"/>
        <v/>
      </c>
      <c r="N324" s="6" t="str">
        <f t="shared" si="31"/>
        <v/>
      </c>
      <c r="O324" s="6" t="str">
        <f t="shared" si="32"/>
        <v/>
      </c>
      <c r="P324" s="6" t="str">
        <f t="shared" si="33"/>
        <v/>
      </c>
      <c r="Q324" s="6" t="str">
        <f t="shared" si="34"/>
        <v/>
      </c>
    </row>
    <row r="325" spans="13:17" x14ac:dyDescent="0.3">
      <c r="M325" s="6" t="str">
        <f t="shared" si="30"/>
        <v/>
      </c>
      <c r="N325" s="6" t="str">
        <f t="shared" si="31"/>
        <v/>
      </c>
      <c r="O325" s="6" t="str">
        <f t="shared" si="32"/>
        <v/>
      </c>
      <c r="P325" s="6" t="str">
        <f t="shared" si="33"/>
        <v/>
      </c>
      <c r="Q325" s="6" t="str">
        <f t="shared" si="34"/>
        <v/>
      </c>
    </row>
    <row r="326" spans="13:17" x14ac:dyDescent="0.3">
      <c r="M326" s="6" t="str">
        <f t="shared" si="30"/>
        <v/>
      </c>
      <c r="N326" s="6" t="str">
        <f t="shared" si="31"/>
        <v/>
      </c>
      <c r="O326" s="6" t="str">
        <f t="shared" si="32"/>
        <v/>
      </c>
      <c r="P326" s="6" t="str">
        <f t="shared" si="33"/>
        <v/>
      </c>
      <c r="Q326" s="6" t="str">
        <f t="shared" si="34"/>
        <v/>
      </c>
    </row>
    <row r="327" spans="13:17" x14ac:dyDescent="0.3">
      <c r="M327" s="6" t="str">
        <f t="shared" si="30"/>
        <v/>
      </c>
      <c r="N327" s="6" t="str">
        <f t="shared" si="31"/>
        <v/>
      </c>
      <c r="O327" s="6" t="str">
        <f t="shared" si="32"/>
        <v/>
      </c>
      <c r="P327" s="6" t="str">
        <f t="shared" si="33"/>
        <v/>
      </c>
      <c r="Q327" s="6" t="str">
        <f t="shared" si="34"/>
        <v/>
      </c>
    </row>
    <row r="328" spans="13:17" x14ac:dyDescent="0.3">
      <c r="M328" s="6" t="str">
        <f t="shared" si="30"/>
        <v/>
      </c>
      <c r="N328" s="6" t="str">
        <f t="shared" si="31"/>
        <v/>
      </c>
      <c r="O328" s="6" t="str">
        <f t="shared" si="32"/>
        <v/>
      </c>
      <c r="P328" s="6" t="str">
        <f t="shared" si="33"/>
        <v/>
      </c>
      <c r="Q328" s="6" t="str">
        <f t="shared" si="34"/>
        <v/>
      </c>
    </row>
    <row r="329" spans="13:17" x14ac:dyDescent="0.3">
      <c r="M329" s="6" t="str">
        <f t="shared" si="30"/>
        <v/>
      </c>
      <c r="N329" s="6" t="str">
        <f t="shared" si="31"/>
        <v/>
      </c>
      <c r="O329" s="6" t="str">
        <f t="shared" si="32"/>
        <v/>
      </c>
      <c r="P329" s="6" t="str">
        <f t="shared" si="33"/>
        <v/>
      </c>
      <c r="Q329" s="6" t="str">
        <f t="shared" si="34"/>
        <v/>
      </c>
    </row>
    <row r="330" spans="13:17" x14ac:dyDescent="0.3">
      <c r="M330" s="6" t="str">
        <f t="shared" si="30"/>
        <v/>
      </c>
      <c r="N330" s="6" t="str">
        <f t="shared" si="31"/>
        <v/>
      </c>
      <c r="O330" s="6" t="str">
        <f t="shared" si="32"/>
        <v/>
      </c>
      <c r="P330" s="6" t="str">
        <f t="shared" si="33"/>
        <v/>
      </c>
      <c r="Q330" s="6" t="str">
        <f t="shared" si="34"/>
        <v/>
      </c>
    </row>
    <row r="331" spans="13:17" x14ac:dyDescent="0.3">
      <c r="M331" s="6" t="str">
        <f t="shared" si="30"/>
        <v/>
      </c>
      <c r="N331" s="6" t="str">
        <f t="shared" si="31"/>
        <v/>
      </c>
      <c r="O331" s="6" t="str">
        <f t="shared" si="32"/>
        <v/>
      </c>
      <c r="P331" s="6" t="str">
        <f t="shared" si="33"/>
        <v/>
      </c>
      <c r="Q331" s="6" t="str">
        <f t="shared" si="34"/>
        <v/>
      </c>
    </row>
    <row r="332" spans="13:17" x14ac:dyDescent="0.3">
      <c r="M332" s="6" t="str">
        <f t="shared" ref="M332:M380" si="35">IF(OR(I332="",F332=""),"",IF(OR(I332&lt;=0,F332&lt;=0),"",0.95*((I332^3)/F332)^0.385))</f>
        <v/>
      </c>
      <c r="N332" s="6" t="str">
        <f t="shared" ref="N332:N380" si="36">IF(OR(B332="",I332="",G332="",D332=""),"",IF(OR(B332&lt;=0,I332&lt;=0,G332&lt;=D332),"",(4*SQRT(B332)+1.5*I332)/(0.8*SQRT(G332-D332))))</f>
        <v/>
      </c>
      <c r="O332" s="6" t="str">
        <f t="shared" ref="O332:O380" si="37">IF(OR(I332="",C332="",H332=""),"",IF(OR(I332&lt;=0,H332&lt;=0,C332&lt;=0,C332&gt;100),"",((100*((I332*1000/0.3048)^0.8)*(((1000/C332)-9)^0.7))/(1900*SQRT(H332*100)))/60))</f>
        <v/>
      </c>
      <c r="P332" s="6" t="str">
        <f t="shared" ref="P332:P380" si="38">IF(OR(I332="",H332=""),"",IF(OR(I332&lt;=0,H332&lt;=0),"",(18*(I332^0.76)/(H332^0.19))/60))</f>
        <v/>
      </c>
      <c r="Q332" s="6" t="str">
        <f t="shared" ref="Q332:Q380" si="39">IF(OR(I332="",K332=""),"",IF(OR(I332&lt;=0,K332&lt;=0),"",I332/(3.6*K332)))</f>
        <v/>
      </c>
    </row>
    <row r="333" spans="13:17" x14ac:dyDescent="0.3">
      <c r="M333" s="6" t="str">
        <f t="shared" si="35"/>
        <v/>
      </c>
      <c r="N333" s="6" t="str">
        <f t="shared" si="36"/>
        <v/>
      </c>
      <c r="O333" s="6" t="str">
        <f t="shared" si="37"/>
        <v/>
      </c>
      <c r="P333" s="6" t="str">
        <f t="shared" si="38"/>
        <v/>
      </c>
      <c r="Q333" s="6" t="str">
        <f t="shared" si="39"/>
        <v/>
      </c>
    </row>
    <row r="334" spans="13:17" x14ac:dyDescent="0.3">
      <c r="M334" s="6" t="str">
        <f t="shared" si="35"/>
        <v/>
      </c>
      <c r="N334" s="6" t="str">
        <f t="shared" si="36"/>
        <v/>
      </c>
      <c r="O334" s="6" t="str">
        <f t="shared" si="37"/>
        <v/>
      </c>
      <c r="P334" s="6" t="str">
        <f t="shared" si="38"/>
        <v/>
      </c>
      <c r="Q334" s="6" t="str">
        <f t="shared" si="39"/>
        <v/>
      </c>
    </row>
    <row r="335" spans="13:17" x14ac:dyDescent="0.3">
      <c r="M335" s="6" t="str">
        <f t="shared" si="35"/>
        <v/>
      </c>
      <c r="N335" s="6" t="str">
        <f t="shared" si="36"/>
        <v/>
      </c>
      <c r="O335" s="6" t="str">
        <f t="shared" si="37"/>
        <v/>
      </c>
      <c r="P335" s="6" t="str">
        <f t="shared" si="38"/>
        <v/>
      </c>
      <c r="Q335" s="6" t="str">
        <f t="shared" si="39"/>
        <v/>
      </c>
    </row>
    <row r="336" spans="13:17" x14ac:dyDescent="0.3">
      <c r="M336" s="6" t="str">
        <f t="shared" si="35"/>
        <v/>
      </c>
      <c r="N336" s="6" t="str">
        <f t="shared" si="36"/>
        <v/>
      </c>
      <c r="O336" s="6" t="str">
        <f t="shared" si="37"/>
        <v/>
      </c>
      <c r="P336" s="6" t="str">
        <f t="shared" si="38"/>
        <v/>
      </c>
      <c r="Q336" s="6" t="str">
        <f t="shared" si="39"/>
        <v/>
      </c>
    </row>
    <row r="337" spans="13:17" x14ac:dyDescent="0.3">
      <c r="M337" s="6" t="str">
        <f t="shared" si="35"/>
        <v/>
      </c>
      <c r="N337" s="6" t="str">
        <f t="shared" si="36"/>
        <v/>
      </c>
      <c r="O337" s="6" t="str">
        <f t="shared" si="37"/>
        <v/>
      </c>
      <c r="P337" s="6" t="str">
        <f t="shared" si="38"/>
        <v/>
      </c>
      <c r="Q337" s="6" t="str">
        <f t="shared" si="39"/>
        <v/>
      </c>
    </row>
    <row r="338" spans="13:17" x14ac:dyDescent="0.3">
      <c r="M338" s="6" t="str">
        <f t="shared" si="35"/>
        <v/>
      </c>
      <c r="N338" s="6" t="str">
        <f t="shared" si="36"/>
        <v/>
      </c>
      <c r="O338" s="6" t="str">
        <f t="shared" si="37"/>
        <v/>
      </c>
      <c r="P338" s="6" t="str">
        <f t="shared" si="38"/>
        <v/>
      </c>
      <c r="Q338" s="6" t="str">
        <f t="shared" si="39"/>
        <v/>
      </c>
    </row>
    <row r="339" spans="13:17" x14ac:dyDescent="0.3">
      <c r="M339" s="6" t="str">
        <f t="shared" si="35"/>
        <v/>
      </c>
      <c r="N339" s="6" t="str">
        <f t="shared" si="36"/>
        <v/>
      </c>
      <c r="O339" s="6" t="str">
        <f t="shared" si="37"/>
        <v/>
      </c>
      <c r="P339" s="6" t="str">
        <f t="shared" si="38"/>
        <v/>
      </c>
      <c r="Q339" s="6" t="str">
        <f t="shared" si="39"/>
        <v/>
      </c>
    </row>
    <row r="340" spans="13:17" x14ac:dyDescent="0.3">
      <c r="M340" s="6" t="str">
        <f t="shared" si="35"/>
        <v/>
      </c>
      <c r="N340" s="6" t="str">
        <f t="shared" si="36"/>
        <v/>
      </c>
      <c r="O340" s="6" t="str">
        <f t="shared" si="37"/>
        <v/>
      </c>
      <c r="P340" s="6" t="str">
        <f t="shared" si="38"/>
        <v/>
      </c>
      <c r="Q340" s="6" t="str">
        <f t="shared" si="39"/>
        <v/>
      </c>
    </row>
    <row r="341" spans="13:17" x14ac:dyDescent="0.3">
      <c r="M341" s="6" t="str">
        <f t="shared" si="35"/>
        <v/>
      </c>
      <c r="N341" s="6" t="str">
        <f t="shared" si="36"/>
        <v/>
      </c>
      <c r="O341" s="6" t="str">
        <f t="shared" si="37"/>
        <v/>
      </c>
      <c r="P341" s="6" t="str">
        <f t="shared" si="38"/>
        <v/>
      </c>
      <c r="Q341" s="6" t="str">
        <f t="shared" si="39"/>
        <v/>
      </c>
    </row>
    <row r="342" spans="13:17" x14ac:dyDescent="0.3">
      <c r="M342" s="6" t="str">
        <f t="shared" si="35"/>
        <v/>
      </c>
      <c r="N342" s="6" t="str">
        <f t="shared" si="36"/>
        <v/>
      </c>
      <c r="O342" s="6" t="str">
        <f t="shared" si="37"/>
        <v/>
      </c>
      <c r="P342" s="6" t="str">
        <f t="shared" si="38"/>
        <v/>
      </c>
      <c r="Q342" s="6" t="str">
        <f t="shared" si="39"/>
        <v/>
      </c>
    </row>
    <row r="343" spans="13:17" x14ac:dyDescent="0.3">
      <c r="M343" s="6" t="str">
        <f t="shared" si="35"/>
        <v/>
      </c>
      <c r="N343" s="6" t="str">
        <f t="shared" si="36"/>
        <v/>
      </c>
      <c r="O343" s="6" t="str">
        <f t="shared" si="37"/>
        <v/>
      </c>
      <c r="P343" s="6" t="str">
        <f t="shared" si="38"/>
        <v/>
      </c>
      <c r="Q343" s="6" t="str">
        <f t="shared" si="39"/>
        <v/>
      </c>
    </row>
    <row r="344" spans="13:17" x14ac:dyDescent="0.3">
      <c r="M344" s="6" t="str">
        <f t="shared" si="35"/>
        <v/>
      </c>
      <c r="N344" s="6" t="str">
        <f t="shared" si="36"/>
        <v/>
      </c>
      <c r="O344" s="6" t="str">
        <f t="shared" si="37"/>
        <v/>
      </c>
      <c r="P344" s="6" t="str">
        <f t="shared" si="38"/>
        <v/>
      </c>
      <c r="Q344" s="6" t="str">
        <f t="shared" si="39"/>
        <v/>
      </c>
    </row>
    <row r="345" spans="13:17" x14ac:dyDescent="0.3">
      <c r="M345" s="6" t="str">
        <f t="shared" si="35"/>
        <v/>
      </c>
      <c r="N345" s="6" t="str">
        <f t="shared" si="36"/>
        <v/>
      </c>
      <c r="O345" s="6" t="str">
        <f t="shared" si="37"/>
        <v/>
      </c>
      <c r="P345" s="6" t="str">
        <f t="shared" si="38"/>
        <v/>
      </c>
      <c r="Q345" s="6" t="str">
        <f t="shared" si="39"/>
        <v/>
      </c>
    </row>
    <row r="346" spans="13:17" x14ac:dyDescent="0.3">
      <c r="M346" s="6" t="str">
        <f t="shared" si="35"/>
        <v/>
      </c>
      <c r="N346" s="6" t="str">
        <f t="shared" si="36"/>
        <v/>
      </c>
      <c r="O346" s="6" t="str">
        <f t="shared" si="37"/>
        <v/>
      </c>
      <c r="P346" s="6" t="str">
        <f t="shared" si="38"/>
        <v/>
      </c>
      <c r="Q346" s="6" t="str">
        <f t="shared" si="39"/>
        <v/>
      </c>
    </row>
    <row r="347" spans="13:17" x14ac:dyDescent="0.3">
      <c r="M347" s="6" t="str">
        <f t="shared" si="35"/>
        <v/>
      </c>
      <c r="N347" s="6" t="str">
        <f t="shared" si="36"/>
        <v/>
      </c>
      <c r="O347" s="6" t="str">
        <f t="shared" si="37"/>
        <v/>
      </c>
      <c r="P347" s="6" t="str">
        <f t="shared" si="38"/>
        <v/>
      </c>
      <c r="Q347" s="6" t="str">
        <f t="shared" si="39"/>
        <v/>
      </c>
    </row>
    <row r="348" spans="13:17" x14ac:dyDescent="0.3">
      <c r="M348" s="6" t="str">
        <f t="shared" si="35"/>
        <v/>
      </c>
      <c r="N348" s="6" t="str">
        <f t="shared" si="36"/>
        <v/>
      </c>
      <c r="O348" s="6" t="str">
        <f t="shared" si="37"/>
        <v/>
      </c>
      <c r="P348" s="6" t="str">
        <f t="shared" si="38"/>
        <v/>
      </c>
      <c r="Q348" s="6" t="str">
        <f t="shared" si="39"/>
        <v/>
      </c>
    </row>
    <row r="349" spans="13:17" x14ac:dyDescent="0.3">
      <c r="M349" s="6" t="str">
        <f t="shared" si="35"/>
        <v/>
      </c>
      <c r="N349" s="6" t="str">
        <f t="shared" si="36"/>
        <v/>
      </c>
      <c r="O349" s="6" t="str">
        <f t="shared" si="37"/>
        <v/>
      </c>
      <c r="P349" s="6" t="str">
        <f t="shared" si="38"/>
        <v/>
      </c>
      <c r="Q349" s="6" t="str">
        <f t="shared" si="39"/>
        <v/>
      </c>
    </row>
    <row r="350" spans="13:17" x14ac:dyDescent="0.3">
      <c r="M350" s="6" t="str">
        <f t="shared" si="35"/>
        <v/>
      </c>
      <c r="N350" s="6" t="str">
        <f t="shared" si="36"/>
        <v/>
      </c>
      <c r="O350" s="6" t="str">
        <f t="shared" si="37"/>
        <v/>
      </c>
      <c r="P350" s="6" t="str">
        <f t="shared" si="38"/>
        <v/>
      </c>
      <c r="Q350" s="6" t="str">
        <f t="shared" si="39"/>
        <v/>
      </c>
    </row>
    <row r="351" spans="13:17" x14ac:dyDescent="0.3">
      <c r="M351" s="6" t="str">
        <f t="shared" si="35"/>
        <v/>
      </c>
      <c r="N351" s="6" t="str">
        <f t="shared" si="36"/>
        <v/>
      </c>
      <c r="O351" s="6" t="str">
        <f t="shared" si="37"/>
        <v/>
      </c>
      <c r="P351" s="6" t="str">
        <f t="shared" si="38"/>
        <v/>
      </c>
      <c r="Q351" s="6" t="str">
        <f t="shared" si="39"/>
        <v/>
      </c>
    </row>
    <row r="352" spans="13:17" x14ac:dyDescent="0.3">
      <c r="M352" s="6" t="str">
        <f t="shared" si="35"/>
        <v/>
      </c>
      <c r="N352" s="6" t="str">
        <f t="shared" si="36"/>
        <v/>
      </c>
      <c r="O352" s="6" t="str">
        <f t="shared" si="37"/>
        <v/>
      </c>
      <c r="P352" s="6" t="str">
        <f t="shared" si="38"/>
        <v/>
      </c>
      <c r="Q352" s="6" t="str">
        <f t="shared" si="39"/>
        <v/>
      </c>
    </row>
    <row r="353" spans="13:17" x14ac:dyDescent="0.3">
      <c r="M353" s="6" t="str">
        <f t="shared" si="35"/>
        <v/>
      </c>
      <c r="N353" s="6" t="str">
        <f t="shared" si="36"/>
        <v/>
      </c>
      <c r="O353" s="6" t="str">
        <f t="shared" si="37"/>
        <v/>
      </c>
      <c r="P353" s="6" t="str">
        <f t="shared" si="38"/>
        <v/>
      </c>
      <c r="Q353" s="6" t="str">
        <f t="shared" si="39"/>
        <v/>
      </c>
    </row>
    <row r="354" spans="13:17" x14ac:dyDescent="0.3">
      <c r="M354" s="6" t="str">
        <f t="shared" si="35"/>
        <v/>
      </c>
      <c r="N354" s="6" t="str">
        <f t="shared" si="36"/>
        <v/>
      </c>
      <c r="O354" s="6" t="str">
        <f t="shared" si="37"/>
        <v/>
      </c>
      <c r="P354" s="6" t="str">
        <f t="shared" si="38"/>
        <v/>
      </c>
      <c r="Q354" s="6" t="str">
        <f t="shared" si="39"/>
        <v/>
      </c>
    </row>
    <row r="355" spans="13:17" x14ac:dyDescent="0.3">
      <c r="M355" s="6" t="str">
        <f t="shared" si="35"/>
        <v/>
      </c>
      <c r="N355" s="6" t="str">
        <f t="shared" si="36"/>
        <v/>
      </c>
      <c r="O355" s="6" t="str">
        <f t="shared" si="37"/>
        <v/>
      </c>
      <c r="P355" s="6" t="str">
        <f t="shared" si="38"/>
        <v/>
      </c>
      <c r="Q355" s="6" t="str">
        <f t="shared" si="39"/>
        <v/>
      </c>
    </row>
    <row r="356" spans="13:17" x14ac:dyDescent="0.3">
      <c r="M356" s="6" t="str">
        <f t="shared" si="35"/>
        <v/>
      </c>
      <c r="N356" s="6" t="str">
        <f t="shared" si="36"/>
        <v/>
      </c>
      <c r="O356" s="6" t="str">
        <f t="shared" si="37"/>
        <v/>
      </c>
      <c r="P356" s="6" t="str">
        <f t="shared" si="38"/>
        <v/>
      </c>
      <c r="Q356" s="6" t="str">
        <f t="shared" si="39"/>
        <v/>
      </c>
    </row>
    <row r="357" spans="13:17" x14ac:dyDescent="0.3">
      <c r="M357" s="6" t="str">
        <f t="shared" si="35"/>
        <v/>
      </c>
      <c r="N357" s="6" t="str">
        <f t="shared" si="36"/>
        <v/>
      </c>
      <c r="O357" s="6" t="str">
        <f t="shared" si="37"/>
        <v/>
      </c>
      <c r="P357" s="6" t="str">
        <f t="shared" si="38"/>
        <v/>
      </c>
      <c r="Q357" s="6" t="str">
        <f t="shared" si="39"/>
        <v/>
      </c>
    </row>
    <row r="358" spans="13:17" x14ac:dyDescent="0.3">
      <c r="M358" s="6" t="str">
        <f t="shared" si="35"/>
        <v/>
      </c>
      <c r="N358" s="6" t="str">
        <f t="shared" si="36"/>
        <v/>
      </c>
      <c r="O358" s="6" t="str">
        <f t="shared" si="37"/>
        <v/>
      </c>
      <c r="P358" s="6" t="str">
        <f t="shared" si="38"/>
        <v/>
      </c>
      <c r="Q358" s="6" t="str">
        <f t="shared" si="39"/>
        <v/>
      </c>
    </row>
    <row r="359" spans="13:17" x14ac:dyDescent="0.3">
      <c r="M359" s="6" t="str">
        <f t="shared" si="35"/>
        <v/>
      </c>
      <c r="N359" s="6" t="str">
        <f t="shared" si="36"/>
        <v/>
      </c>
      <c r="O359" s="6" t="str">
        <f t="shared" si="37"/>
        <v/>
      </c>
      <c r="P359" s="6" t="str">
        <f t="shared" si="38"/>
        <v/>
      </c>
      <c r="Q359" s="6" t="str">
        <f t="shared" si="39"/>
        <v/>
      </c>
    </row>
    <row r="360" spans="13:17" x14ac:dyDescent="0.3">
      <c r="M360" s="6" t="str">
        <f t="shared" si="35"/>
        <v/>
      </c>
      <c r="N360" s="6" t="str">
        <f t="shared" si="36"/>
        <v/>
      </c>
      <c r="O360" s="6" t="str">
        <f t="shared" si="37"/>
        <v/>
      </c>
      <c r="P360" s="6" t="str">
        <f t="shared" si="38"/>
        <v/>
      </c>
      <c r="Q360" s="6" t="str">
        <f t="shared" si="39"/>
        <v/>
      </c>
    </row>
    <row r="361" spans="13:17" x14ac:dyDescent="0.3">
      <c r="M361" s="6" t="str">
        <f t="shared" si="35"/>
        <v/>
      </c>
      <c r="N361" s="6" t="str">
        <f t="shared" si="36"/>
        <v/>
      </c>
      <c r="O361" s="6" t="str">
        <f t="shared" si="37"/>
        <v/>
      </c>
      <c r="P361" s="6" t="str">
        <f t="shared" si="38"/>
        <v/>
      </c>
      <c r="Q361" s="6" t="str">
        <f t="shared" si="39"/>
        <v/>
      </c>
    </row>
    <row r="362" spans="13:17" x14ac:dyDescent="0.3">
      <c r="M362" s="6" t="str">
        <f t="shared" si="35"/>
        <v/>
      </c>
      <c r="N362" s="6" t="str">
        <f t="shared" si="36"/>
        <v/>
      </c>
      <c r="O362" s="6" t="str">
        <f t="shared" si="37"/>
        <v/>
      </c>
      <c r="P362" s="6" t="str">
        <f t="shared" si="38"/>
        <v/>
      </c>
      <c r="Q362" s="6" t="str">
        <f t="shared" si="39"/>
        <v/>
      </c>
    </row>
    <row r="363" spans="13:17" x14ac:dyDescent="0.3">
      <c r="M363" s="6" t="str">
        <f t="shared" si="35"/>
        <v/>
      </c>
      <c r="N363" s="6" t="str">
        <f t="shared" si="36"/>
        <v/>
      </c>
      <c r="O363" s="6" t="str">
        <f t="shared" si="37"/>
        <v/>
      </c>
      <c r="P363" s="6" t="str">
        <f t="shared" si="38"/>
        <v/>
      </c>
      <c r="Q363" s="6" t="str">
        <f t="shared" si="39"/>
        <v/>
      </c>
    </row>
    <row r="364" spans="13:17" x14ac:dyDescent="0.3">
      <c r="M364" s="6" t="str">
        <f t="shared" si="35"/>
        <v/>
      </c>
      <c r="N364" s="6" t="str">
        <f t="shared" si="36"/>
        <v/>
      </c>
      <c r="O364" s="6" t="str">
        <f t="shared" si="37"/>
        <v/>
      </c>
      <c r="P364" s="6" t="str">
        <f t="shared" si="38"/>
        <v/>
      </c>
      <c r="Q364" s="6" t="str">
        <f t="shared" si="39"/>
        <v/>
      </c>
    </row>
    <row r="365" spans="13:17" x14ac:dyDescent="0.3">
      <c r="M365" s="6" t="str">
        <f t="shared" si="35"/>
        <v/>
      </c>
      <c r="N365" s="6" t="str">
        <f t="shared" si="36"/>
        <v/>
      </c>
      <c r="O365" s="6" t="str">
        <f t="shared" si="37"/>
        <v/>
      </c>
      <c r="P365" s="6" t="str">
        <f t="shared" si="38"/>
        <v/>
      </c>
      <c r="Q365" s="6" t="str">
        <f t="shared" si="39"/>
        <v/>
      </c>
    </row>
    <row r="366" spans="13:17" x14ac:dyDescent="0.3">
      <c r="M366" s="6" t="str">
        <f t="shared" si="35"/>
        <v/>
      </c>
      <c r="N366" s="6" t="str">
        <f t="shared" si="36"/>
        <v/>
      </c>
      <c r="O366" s="6" t="str">
        <f t="shared" si="37"/>
        <v/>
      </c>
      <c r="P366" s="6" t="str">
        <f t="shared" si="38"/>
        <v/>
      </c>
      <c r="Q366" s="6" t="str">
        <f t="shared" si="39"/>
        <v/>
      </c>
    </row>
    <row r="367" spans="13:17" x14ac:dyDescent="0.3">
      <c r="M367" s="6" t="str">
        <f t="shared" si="35"/>
        <v/>
      </c>
      <c r="N367" s="6" t="str">
        <f t="shared" si="36"/>
        <v/>
      </c>
      <c r="O367" s="6" t="str">
        <f t="shared" si="37"/>
        <v/>
      </c>
      <c r="P367" s="6" t="str">
        <f t="shared" si="38"/>
        <v/>
      </c>
      <c r="Q367" s="6" t="str">
        <f t="shared" si="39"/>
        <v/>
      </c>
    </row>
    <row r="368" spans="13:17" x14ac:dyDescent="0.3">
      <c r="M368" s="6" t="str">
        <f t="shared" si="35"/>
        <v/>
      </c>
      <c r="N368" s="6" t="str">
        <f t="shared" si="36"/>
        <v/>
      </c>
      <c r="O368" s="6" t="str">
        <f t="shared" si="37"/>
        <v/>
      </c>
      <c r="P368" s="6" t="str">
        <f t="shared" si="38"/>
        <v/>
      </c>
      <c r="Q368" s="6" t="str">
        <f t="shared" si="39"/>
        <v/>
      </c>
    </row>
    <row r="369" spans="13:17" x14ac:dyDescent="0.3">
      <c r="M369" s="6" t="str">
        <f t="shared" si="35"/>
        <v/>
      </c>
      <c r="N369" s="6" t="str">
        <f t="shared" si="36"/>
        <v/>
      </c>
      <c r="O369" s="6" t="str">
        <f t="shared" si="37"/>
        <v/>
      </c>
      <c r="P369" s="6" t="str">
        <f t="shared" si="38"/>
        <v/>
      </c>
      <c r="Q369" s="6" t="str">
        <f t="shared" si="39"/>
        <v/>
      </c>
    </row>
    <row r="370" spans="13:17" x14ac:dyDescent="0.3">
      <c r="M370" s="6" t="str">
        <f t="shared" si="35"/>
        <v/>
      </c>
      <c r="N370" s="6" t="str">
        <f t="shared" si="36"/>
        <v/>
      </c>
      <c r="O370" s="6" t="str">
        <f t="shared" si="37"/>
        <v/>
      </c>
      <c r="P370" s="6" t="str">
        <f t="shared" si="38"/>
        <v/>
      </c>
      <c r="Q370" s="6" t="str">
        <f t="shared" si="39"/>
        <v/>
      </c>
    </row>
    <row r="371" spans="13:17" x14ac:dyDescent="0.3">
      <c r="M371" s="6" t="str">
        <f t="shared" si="35"/>
        <v/>
      </c>
      <c r="N371" s="6" t="str">
        <f t="shared" si="36"/>
        <v/>
      </c>
      <c r="O371" s="6" t="str">
        <f t="shared" si="37"/>
        <v/>
      </c>
      <c r="P371" s="6" t="str">
        <f t="shared" si="38"/>
        <v/>
      </c>
      <c r="Q371" s="6" t="str">
        <f t="shared" si="39"/>
        <v/>
      </c>
    </row>
    <row r="372" spans="13:17" x14ac:dyDescent="0.3">
      <c r="M372" s="6" t="str">
        <f t="shared" si="35"/>
        <v/>
      </c>
      <c r="N372" s="6" t="str">
        <f t="shared" si="36"/>
        <v/>
      </c>
      <c r="O372" s="6" t="str">
        <f t="shared" si="37"/>
        <v/>
      </c>
      <c r="P372" s="6" t="str">
        <f t="shared" si="38"/>
        <v/>
      </c>
      <c r="Q372" s="6" t="str">
        <f t="shared" si="39"/>
        <v/>
      </c>
    </row>
    <row r="373" spans="13:17" x14ac:dyDescent="0.3">
      <c r="M373" s="6" t="str">
        <f t="shared" si="35"/>
        <v/>
      </c>
      <c r="N373" s="6" t="str">
        <f t="shared" si="36"/>
        <v/>
      </c>
      <c r="O373" s="6" t="str">
        <f t="shared" si="37"/>
        <v/>
      </c>
      <c r="P373" s="6" t="str">
        <f t="shared" si="38"/>
        <v/>
      </c>
      <c r="Q373" s="6" t="str">
        <f t="shared" si="39"/>
        <v/>
      </c>
    </row>
    <row r="374" spans="13:17" x14ac:dyDescent="0.3">
      <c r="M374" s="6" t="str">
        <f t="shared" si="35"/>
        <v/>
      </c>
      <c r="N374" s="6" t="str">
        <f t="shared" si="36"/>
        <v/>
      </c>
      <c r="O374" s="6" t="str">
        <f t="shared" si="37"/>
        <v/>
      </c>
      <c r="P374" s="6" t="str">
        <f t="shared" si="38"/>
        <v/>
      </c>
      <c r="Q374" s="6" t="str">
        <f t="shared" si="39"/>
        <v/>
      </c>
    </row>
    <row r="375" spans="13:17" x14ac:dyDescent="0.3">
      <c r="M375" s="6" t="str">
        <f t="shared" si="35"/>
        <v/>
      </c>
      <c r="N375" s="6" t="str">
        <f t="shared" si="36"/>
        <v/>
      </c>
      <c r="O375" s="6" t="str">
        <f t="shared" si="37"/>
        <v/>
      </c>
      <c r="P375" s="6" t="str">
        <f t="shared" si="38"/>
        <v/>
      </c>
      <c r="Q375" s="6" t="str">
        <f t="shared" si="39"/>
        <v/>
      </c>
    </row>
    <row r="376" spans="13:17" x14ac:dyDescent="0.3">
      <c r="M376" s="6" t="str">
        <f t="shared" si="35"/>
        <v/>
      </c>
      <c r="N376" s="6" t="str">
        <f t="shared" si="36"/>
        <v/>
      </c>
      <c r="O376" s="6" t="str">
        <f t="shared" si="37"/>
        <v/>
      </c>
      <c r="P376" s="6" t="str">
        <f t="shared" si="38"/>
        <v/>
      </c>
      <c r="Q376" s="6" t="str">
        <f t="shared" si="39"/>
        <v/>
      </c>
    </row>
    <row r="377" spans="13:17" x14ac:dyDescent="0.3">
      <c r="M377" s="6" t="str">
        <f t="shared" si="35"/>
        <v/>
      </c>
      <c r="N377" s="6" t="str">
        <f t="shared" si="36"/>
        <v/>
      </c>
      <c r="O377" s="6" t="str">
        <f t="shared" si="37"/>
        <v/>
      </c>
      <c r="P377" s="6" t="str">
        <f t="shared" si="38"/>
        <v/>
      </c>
      <c r="Q377" s="6" t="str">
        <f t="shared" si="39"/>
        <v/>
      </c>
    </row>
    <row r="378" spans="13:17" x14ac:dyDescent="0.3">
      <c r="M378" s="6" t="str">
        <f t="shared" si="35"/>
        <v/>
      </c>
      <c r="N378" s="6" t="str">
        <f t="shared" si="36"/>
        <v/>
      </c>
      <c r="O378" s="6" t="str">
        <f t="shared" si="37"/>
        <v/>
      </c>
      <c r="P378" s="6" t="str">
        <f t="shared" si="38"/>
        <v/>
      </c>
      <c r="Q378" s="6" t="str">
        <f t="shared" si="39"/>
        <v/>
      </c>
    </row>
    <row r="379" spans="13:17" x14ac:dyDescent="0.3">
      <c r="M379" s="6" t="str">
        <f t="shared" si="35"/>
        <v/>
      </c>
      <c r="N379" s="6" t="str">
        <f t="shared" si="36"/>
        <v/>
      </c>
      <c r="O379" s="6" t="str">
        <f t="shared" si="37"/>
        <v/>
      </c>
      <c r="P379" s="6" t="str">
        <f t="shared" si="38"/>
        <v/>
      </c>
      <c r="Q379" s="6" t="str">
        <f t="shared" si="39"/>
        <v/>
      </c>
    </row>
    <row r="380" spans="13:17" x14ac:dyDescent="0.3">
      <c r="M380" s="6" t="str">
        <f t="shared" si="35"/>
        <v/>
      </c>
      <c r="N380" s="6" t="str">
        <f t="shared" si="36"/>
        <v/>
      </c>
      <c r="O380" s="6" t="str">
        <f t="shared" si="37"/>
        <v/>
      </c>
      <c r="P380" s="6" t="str">
        <f t="shared" si="38"/>
        <v/>
      </c>
      <c r="Q380" s="6" t="str">
        <f t="shared" si="39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8635-56AF-4151-A8F0-4CF2F4B95CB7}">
  <sheetPr codeName="Sheet2"/>
  <dimension ref="A1:G100"/>
  <sheetViews>
    <sheetView workbookViewId="0">
      <selection activeCell="E11" sqref="E11"/>
    </sheetView>
  </sheetViews>
  <sheetFormatPr defaultRowHeight="14.4" x14ac:dyDescent="0.3"/>
  <cols>
    <col min="1" max="1" width="14.6640625" customWidth="1"/>
    <col min="2" max="6" width="12.6640625" customWidth="1"/>
    <col min="13" max="13" width="10" bestFit="1" customWidth="1"/>
    <col min="16" max="16" width="11" bestFit="1" customWidth="1"/>
  </cols>
  <sheetData>
    <row r="1" spans="1:7" ht="55.2" customHeight="1" x14ac:dyDescent="0.3">
      <c r="A1" s="7" t="s">
        <v>0</v>
      </c>
      <c r="B1" s="8" t="s">
        <v>19</v>
      </c>
      <c r="C1" s="8" t="s">
        <v>20</v>
      </c>
      <c r="D1" s="2" t="s">
        <v>21</v>
      </c>
      <c r="E1" s="2" t="s">
        <v>22</v>
      </c>
      <c r="F1" s="2" t="s">
        <v>23</v>
      </c>
    </row>
    <row r="2" spans="1:7" x14ac:dyDescent="0.3">
      <c r="A2" t="str">
        <f>IF(ISBLANK('Info Cuencas'!A2),"",'Info Cuencas'!A2)</f>
        <v>C_01_CL</v>
      </c>
      <c r="B2" s="6">
        <f>IF(A2="","",0.133*'Info Cuencas'!R2)</f>
        <v>0.76073282726013913</v>
      </c>
      <c r="C2" s="11">
        <v>0.05</v>
      </c>
      <c r="D2" s="6">
        <f>IF(A2="","",0.6*'Info Cuencas'!R2+HUS!C2/2)</f>
        <v>3.4568774162111535</v>
      </c>
      <c r="E2" s="6">
        <f>IF(A2="","",2.67*D2)</f>
        <v>9.2298627012837802</v>
      </c>
      <c r="F2" s="6">
        <f>IF(A2="","",0.208*'Info Cuencas'!B2/HUS!D2)</f>
        <v>7.0561854133476336</v>
      </c>
      <c r="G2" s="6"/>
    </row>
    <row r="3" spans="1:7" x14ac:dyDescent="0.3">
      <c r="A3" t="str">
        <f>IF(ISBLANK('Info Cuencas'!A3),"",'Info Cuencas'!A3)</f>
        <v>C_02_CL</v>
      </c>
      <c r="B3" s="6">
        <f>IF(A3="","",0.133*'Info Cuencas'!R3)</f>
        <v>1.0943707430089464</v>
      </c>
      <c r="C3" s="11">
        <v>0.05</v>
      </c>
      <c r="D3" s="6">
        <f>IF(A3="","",0.6*'Info Cuencas'!R3+HUS!C3/2)</f>
        <v>4.9620108707170507</v>
      </c>
      <c r="E3" s="6">
        <f t="shared" ref="E3:E11" si="0">IF(A3="","",2.67*D3)</f>
        <v>13.248569024814525</v>
      </c>
      <c r="F3" s="6">
        <f>IF(A3="","",0.208*'Info Cuencas'!B3/HUS!D3)</f>
        <v>18.768584436120346</v>
      </c>
      <c r="G3" s="6"/>
    </row>
    <row r="4" spans="1:7" x14ac:dyDescent="0.3">
      <c r="A4" t="str">
        <f>IF(ISBLANK('Info Cuencas'!A4),"",'Info Cuencas'!A4)</f>
        <v/>
      </c>
      <c r="B4" s="6" t="str">
        <f>IF(A4="","",0.133*'Info Cuencas'!R4)</f>
        <v/>
      </c>
      <c r="C4" s="9"/>
      <c r="D4" s="6" t="str">
        <f>IF(A4="","",0.6*'Info Cuencas'!R4+HUS!C4/2)</f>
        <v/>
      </c>
      <c r="E4" s="6" t="str">
        <f t="shared" si="0"/>
        <v/>
      </c>
      <c r="F4" s="6" t="str">
        <f>IF(A4="","",0.208*'Info Cuencas'!B4/HUS!D4)</f>
        <v/>
      </c>
      <c r="G4" s="6"/>
    </row>
    <row r="5" spans="1:7" x14ac:dyDescent="0.3">
      <c r="A5" t="str">
        <f>IF(ISBLANK('Info Cuencas'!A5),"",'Info Cuencas'!A5)</f>
        <v/>
      </c>
      <c r="B5" s="6" t="str">
        <f>IF(A5="","",0.133*'Info Cuencas'!R5)</f>
        <v/>
      </c>
      <c r="C5" s="9"/>
      <c r="D5" s="6" t="str">
        <f>IF(A5="","",0.6*'Info Cuencas'!R5+HUS!C5/2)</f>
        <v/>
      </c>
      <c r="E5" s="6" t="str">
        <f t="shared" si="0"/>
        <v/>
      </c>
      <c r="F5" s="6" t="str">
        <f>IF(A5="","",0.208*'Info Cuencas'!B5/HUS!D5)</f>
        <v/>
      </c>
      <c r="G5" s="6"/>
    </row>
    <row r="6" spans="1:7" x14ac:dyDescent="0.3">
      <c r="A6" t="str">
        <f>IF(ISBLANK('Info Cuencas'!A6),"",'Info Cuencas'!A6)</f>
        <v/>
      </c>
      <c r="B6" s="6" t="str">
        <f>IF(A6="","",0.133*'Info Cuencas'!R6)</f>
        <v/>
      </c>
      <c r="C6" s="9"/>
      <c r="D6" s="6" t="str">
        <f>IF(A6="","",0.6*'Info Cuencas'!R6+HUS!C6/2)</f>
        <v/>
      </c>
      <c r="E6" s="6" t="str">
        <f t="shared" si="0"/>
        <v/>
      </c>
      <c r="F6" s="6" t="str">
        <f>IF(A6="","",0.208*'Info Cuencas'!B6/HUS!D6)</f>
        <v/>
      </c>
      <c r="G6" s="6"/>
    </row>
    <row r="7" spans="1:7" x14ac:dyDescent="0.3">
      <c r="A7" t="str">
        <f>IF(ISBLANK('Info Cuencas'!A7),"",'Info Cuencas'!A7)</f>
        <v/>
      </c>
      <c r="B7" s="6" t="str">
        <f>IF(A7="","",0.133*'Info Cuencas'!R7)</f>
        <v/>
      </c>
      <c r="C7" s="9"/>
      <c r="D7" s="6" t="str">
        <f>IF(A7="","",0.6*'Info Cuencas'!R7+HUS!C7/2)</f>
        <v/>
      </c>
      <c r="E7" s="6" t="str">
        <f t="shared" si="0"/>
        <v/>
      </c>
      <c r="F7" s="6" t="str">
        <f>IF(A7="","",0.208*'Info Cuencas'!B7/HUS!D7)</f>
        <v/>
      </c>
      <c r="G7" s="6"/>
    </row>
    <row r="8" spans="1:7" x14ac:dyDescent="0.3">
      <c r="A8" t="str">
        <f>IF(ISBLANK('Info Cuencas'!A8),"",'Info Cuencas'!A8)</f>
        <v/>
      </c>
      <c r="B8" s="6" t="str">
        <f>IF(A8="","",0.133*'Info Cuencas'!R8)</f>
        <v/>
      </c>
      <c r="C8" s="9"/>
      <c r="D8" s="6" t="str">
        <f>IF(A8="","",0.6*'Info Cuencas'!R8+HUS!C8/2)</f>
        <v/>
      </c>
      <c r="E8" s="6" t="str">
        <f t="shared" si="0"/>
        <v/>
      </c>
      <c r="F8" s="6" t="str">
        <f>IF(A8="","",0.208*'Info Cuencas'!B8/HUS!D8)</f>
        <v/>
      </c>
      <c r="G8" s="6"/>
    </row>
    <row r="9" spans="1:7" x14ac:dyDescent="0.3">
      <c r="A9" t="str">
        <f>IF(ISBLANK('Info Cuencas'!A9),"",'Info Cuencas'!A9)</f>
        <v/>
      </c>
      <c r="B9" s="6" t="str">
        <f>IF(A9="","",0.133*'Info Cuencas'!R9)</f>
        <v/>
      </c>
      <c r="C9" s="9"/>
      <c r="D9" s="6" t="str">
        <f>IF(A9="","",0.6*'Info Cuencas'!R9+HUS!C9/2)</f>
        <v/>
      </c>
      <c r="E9" s="6" t="str">
        <f t="shared" si="0"/>
        <v/>
      </c>
      <c r="F9" s="6" t="str">
        <f>IF(A9="","",0.208*'Info Cuencas'!B9/HUS!D9)</f>
        <v/>
      </c>
      <c r="G9" s="6"/>
    </row>
    <row r="10" spans="1:7" x14ac:dyDescent="0.3">
      <c r="A10" t="str">
        <f>IF(ISBLANK('Info Cuencas'!A10),"",'Info Cuencas'!A10)</f>
        <v/>
      </c>
      <c r="B10" s="6" t="str">
        <f>IF(A10="","",0.133*'Info Cuencas'!R10)</f>
        <v/>
      </c>
      <c r="C10" s="9"/>
      <c r="D10" s="6" t="str">
        <f>IF(A10="","",0.6*'Info Cuencas'!R10+HUS!C10/2)</f>
        <v/>
      </c>
      <c r="E10" s="6" t="str">
        <f t="shared" si="0"/>
        <v/>
      </c>
      <c r="F10" s="6" t="str">
        <f>IF(A10="","",0.208*'Info Cuencas'!B10/HUS!D10)</f>
        <v/>
      </c>
      <c r="G10" s="6"/>
    </row>
    <row r="11" spans="1:7" x14ac:dyDescent="0.3">
      <c r="A11" t="str">
        <f>IF(ISBLANK('Info Cuencas'!A11),"",'Info Cuencas'!A11)</f>
        <v/>
      </c>
      <c r="B11" s="6" t="str">
        <f>IF(A11="","",0.133*'Info Cuencas'!R11)</f>
        <v/>
      </c>
      <c r="C11" s="9"/>
      <c r="D11" s="6" t="str">
        <f>IF(A11="","",0.6*'Info Cuencas'!R11+HUS!C11/2)</f>
        <v/>
      </c>
      <c r="E11" s="6" t="str">
        <f t="shared" si="0"/>
        <v/>
      </c>
      <c r="F11" s="6" t="str">
        <f>IF(A11="","",0.208*'Info Cuencas'!B11/HUS!D11)</f>
        <v/>
      </c>
      <c r="G11" s="6"/>
    </row>
    <row r="12" spans="1:7" x14ac:dyDescent="0.3">
      <c r="A12" t="str">
        <f>IF(ISBLANK('Info Cuencas'!A12),"",'Info Cuencas'!A12)</f>
        <v/>
      </c>
      <c r="B12" t="str">
        <f>IF(A12="","",0.133*'Info Cuencas'!R12)</f>
        <v/>
      </c>
      <c r="C12" s="9"/>
      <c r="D12" s="6" t="str">
        <f>IF(A12="","",0.6*'Info Cuencas'!R12+HUS!C12/2)</f>
        <v/>
      </c>
    </row>
    <row r="13" spans="1:7" x14ac:dyDescent="0.3">
      <c r="A13" t="str">
        <f>IF(ISBLANK('Info Cuencas'!A13),"",'Info Cuencas'!A13)</f>
        <v/>
      </c>
      <c r="B13" t="str">
        <f>IF(A13="","",0.133*'Info Cuencas'!R13)</f>
        <v/>
      </c>
      <c r="C13" s="9"/>
      <c r="D13" s="6" t="str">
        <f>IF(A13="","",0.6*'Info Cuencas'!R13+HUS!C13/2)</f>
        <v/>
      </c>
    </row>
    <row r="14" spans="1:7" x14ac:dyDescent="0.3">
      <c r="A14" t="str">
        <f>IF(ISBLANK('Info Cuencas'!A14),"",'Info Cuencas'!A14)</f>
        <v/>
      </c>
      <c r="B14" t="str">
        <f>IF(A14="","",0.133*'Info Cuencas'!R14)</f>
        <v/>
      </c>
      <c r="C14" s="9"/>
      <c r="D14" s="6" t="str">
        <f>IF(A14="","",0.6*'Info Cuencas'!R14+HUS!C14/2)</f>
        <v/>
      </c>
    </row>
    <row r="15" spans="1:7" x14ac:dyDescent="0.3">
      <c r="A15" t="str">
        <f>IF(ISBLANK('Info Cuencas'!A15),"",'Info Cuencas'!A15)</f>
        <v/>
      </c>
      <c r="B15" t="str">
        <f>IF(A15="","",0.133*'Info Cuencas'!R15)</f>
        <v/>
      </c>
      <c r="D15" s="6" t="str">
        <f>IF(A15="","",0.6*'Info Cuencas'!R15+HUS!C15/2)</f>
        <v/>
      </c>
    </row>
    <row r="16" spans="1:7" x14ac:dyDescent="0.3">
      <c r="A16" t="str">
        <f>IF(ISBLANK('Info Cuencas'!A16),"",'Info Cuencas'!A16)</f>
        <v/>
      </c>
      <c r="B16" t="str">
        <f>IF(A16="","",0.133*'Info Cuencas'!R16)</f>
        <v/>
      </c>
      <c r="D16" s="6" t="str">
        <f>IF(A16="","",0.6*'Info Cuencas'!R16+HUS!C16/2)</f>
        <v/>
      </c>
    </row>
    <row r="17" spans="1:4" x14ac:dyDescent="0.3">
      <c r="A17" t="str">
        <f>IF(ISBLANK('Info Cuencas'!A17),"",'Info Cuencas'!A17)</f>
        <v/>
      </c>
      <c r="B17" t="str">
        <f>IF(A17="","",0.133*'Info Cuencas'!R17)</f>
        <v/>
      </c>
      <c r="D17" s="6" t="str">
        <f>IF(A17="","",0.6*'Info Cuencas'!R17+HUS!C17/2)</f>
        <v/>
      </c>
    </row>
    <row r="18" spans="1:4" x14ac:dyDescent="0.3">
      <c r="A18" t="str">
        <f>IF(ISBLANK('Info Cuencas'!A18),"",'Info Cuencas'!A18)</f>
        <v/>
      </c>
      <c r="B18" t="str">
        <f>IF(A18="","",0.133*'Info Cuencas'!R18)</f>
        <v/>
      </c>
      <c r="D18" s="6" t="str">
        <f>IF(A18="","",0.6*'Info Cuencas'!R18+HUS!C18/2)</f>
        <v/>
      </c>
    </row>
    <row r="19" spans="1:4" x14ac:dyDescent="0.3">
      <c r="A19" t="str">
        <f>IF(ISBLANK('Info Cuencas'!A19),"",'Info Cuencas'!A19)</f>
        <v/>
      </c>
      <c r="B19" t="str">
        <f>IF(A19="","",0.133*'Info Cuencas'!R19)</f>
        <v/>
      </c>
      <c r="D19" s="6" t="str">
        <f>IF(A19="","",0.6*'Info Cuencas'!R19+HUS!C19/2)</f>
        <v/>
      </c>
    </row>
    <row r="20" spans="1:4" x14ac:dyDescent="0.3">
      <c r="A20" t="str">
        <f>IF(ISBLANK('Info Cuencas'!A20),"",'Info Cuencas'!A20)</f>
        <v/>
      </c>
      <c r="B20" t="str">
        <f>IF(A20="","",0.133*'Info Cuencas'!R20)</f>
        <v/>
      </c>
      <c r="D20" s="6" t="str">
        <f>IF(A20="","",0.6*'Info Cuencas'!R20+HUS!C20/2)</f>
        <v/>
      </c>
    </row>
    <row r="21" spans="1:4" x14ac:dyDescent="0.3">
      <c r="A21" t="str">
        <f>IF(ISBLANK('Info Cuencas'!A21),"",'Info Cuencas'!A21)</f>
        <v/>
      </c>
      <c r="B21" t="str">
        <f>IF(A21="","",0.133*'Info Cuencas'!R21)</f>
        <v/>
      </c>
      <c r="D21" s="6" t="str">
        <f>IF(A21="","",0.6*'Info Cuencas'!R21+HUS!C21/2)</f>
        <v/>
      </c>
    </row>
    <row r="22" spans="1:4" x14ac:dyDescent="0.3">
      <c r="A22" t="str">
        <f>IF(ISBLANK('Info Cuencas'!A22),"",'Info Cuencas'!A22)</f>
        <v/>
      </c>
      <c r="B22" t="str">
        <f>IF(A22="","",0.133*'Info Cuencas'!R22)</f>
        <v/>
      </c>
      <c r="D22" s="6" t="str">
        <f>IF(A22="","",0.6*'Info Cuencas'!R22+HUS!C22/2)</f>
        <v/>
      </c>
    </row>
    <row r="23" spans="1:4" x14ac:dyDescent="0.3">
      <c r="A23" t="str">
        <f>IF(ISBLANK('Info Cuencas'!A23),"",'Info Cuencas'!A23)</f>
        <v/>
      </c>
      <c r="B23" t="str">
        <f>IF(A23="","",0.133*'Info Cuencas'!R23)</f>
        <v/>
      </c>
      <c r="D23" s="6" t="str">
        <f>IF(A23="","",0.6*'Info Cuencas'!R23+HUS!C23/2)</f>
        <v/>
      </c>
    </row>
    <row r="24" spans="1:4" x14ac:dyDescent="0.3">
      <c r="A24" t="str">
        <f>IF(ISBLANK('Info Cuencas'!A24),"",'Info Cuencas'!A24)</f>
        <v/>
      </c>
      <c r="B24" t="str">
        <f>IF(A24="","",0.133*'Info Cuencas'!R24)</f>
        <v/>
      </c>
      <c r="D24" s="6" t="str">
        <f>IF(A24="","",0.6*'Info Cuencas'!R24+HUS!C24/2)</f>
        <v/>
      </c>
    </row>
    <row r="25" spans="1:4" x14ac:dyDescent="0.3">
      <c r="A25" t="str">
        <f>IF(ISBLANK('Info Cuencas'!A25),"",'Info Cuencas'!A25)</f>
        <v/>
      </c>
      <c r="B25" t="str">
        <f>IF(A25="","",0.133*'Info Cuencas'!R25)</f>
        <v/>
      </c>
      <c r="D25" s="6" t="str">
        <f>IF(A25="","",0.6*'Info Cuencas'!R25+HUS!C25/2)</f>
        <v/>
      </c>
    </row>
    <row r="26" spans="1:4" x14ac:dyDescent="0.3">
      <c r="A26" t="str">
        <f>IF(ISBLANK('Info Cuencas'!A26),"",'Info Cuencas'!A26)</f>
        <v/>
      </c>
      <c r="B26" t="str">
        <f>IF(A26="","",0.133*'Info Cuencas'!R26)</f>
        <v/>
      </c>
      <c r="D26" s="6" t="str">
        <f>IF(A26="","",0.6*'Info Cuencas'!R26+HUS!C26/2)</f>
        <v/>
      </c>
    </row>
    <row r="27" spans="1:4" x14ac:dyDescent="0.3">
      <c r="A27" t="str">
        <f>IF(ISBLANK('Info Cuencas'!A27),"",'Info Cuencas'!A27)</f>
        <v/>
      </c>
      <c r="B27" t="str">
        <f>IF(A27="","",0.133*'Info Cuencas'!R27)</f>
        <v/>
      </c>
      <c r="D27" s="6" t="str">
        <f>IF(A27="","",0.6*'Info Cuencas'!R27+HUS!C27/2)</f>
        <v/>
      </c>
    </row>
    <row r="28" spans="1:4" x14ac:dyDescent="0.3">
      <c r="A28" t="str">
        <f>IF(ISBLANK('Info Cuencas'!A28),"",'Info Cuencas'!A28)</f>
        <v/>
      </c>
      <c r="B28" t="str">
        <f>IF(A28="","",0.133*'Info Cuencas'!R28)</f>
        <v/>
      </c>
      <c r="D28" s="6" t="str">
        <f>IF(A28="","",0.6*'Info Cuencas'!R28+HUS!C28/2)</f>
        <v/>
      </c>
    </row>
    <row r="29" spans="1:4" x14ac:dyDescent="0.3">
      <c r="A29" t="str">
        <f>IF(ISBLANK('Info Cuencas'!A29),"",'Info Cuencas'!A29)</f>
        <v/>
      </c>
      <c r="B29" t="str">
        <f>IF(A29="","",0.133*'Info Cuencas'!R29)</f>
        <v/>
      </c>
      <c r="D29" s="6" t="str">
        <f>IF(A29="","",0.6*'Info Cuencas'!R29+HUS!C29/2)</f>
        <v/>
      </c>
    </row>
    <row r="30" spans="1:4" x14ac:dyDescent="0.3">
      <c r="A30" t="str">
        <f>IF(ISBLANK('Info Cuencas'!A30),"",'Info Cuencas'!A30)</f>
        <v/>
      </c>
      <c r="B30" t="str">
        <f>IF(A30="","",0.133*'Info Cuencas'!R30)</f>
        <v/>
      </c>
      <c r="D30" s="6" t="str">
        <f>IF(A30="","",0.6*'Info Cuencas'!R30+HUS!C30/2)</f>
        <v/>
      </c>
    </row>
    <row r="31" spans="1:4" x14ac:dyDescent="0.3">
      <c r="A31" t="str">
        <f>IF(ISBLANK('Info Cuencas'!A31),"",'Info Cuencas'!A31)</f>
        <v/>
      </c>
      <c r="B31" t="str">
        <f>IF(A31="","",0.133*'Info Cuencas'!R31)</f>
        <v/>
      </c>
      <c r="D31" s="6" t="str">
        <f>IF(A31="","",0.6*'Info Cuencas'!R31+HUS!C31/2)</f>
        <v/>
      </c>
    </row>
    <row r="32" spans="1:4" x14ac:dyDescent="0.3">
      <c r="A32" t="str">
        <f>IF(ISBLANK('Info Cuencas'!A32),"",'Info Cuencas'!A32)</f>
        <v/>
      </c>
      <c r="B32" t="str">
        <f>IF(A32="","",0.133*'Info Cuencas'!R32)</f>
        <v/>
      </c>
      <c r="D32" s="6" t="str">
        <f>IF(A32="","",0.6*'Info Cuencas'!R32+HUS!C32/2)</f>
        <v/>
      </c>
    </row>
    <row r="33" spans="1:4" x14ac:dyDescent="0.3">
      <c r="A33" t="str">
        <f>IF(ISBLANK('Info Cuencas'!A33),"",'Info Cuencas'!A33)</f>
        <v/>
      </c>
      <c r="B33" t="str">
        <f>IF(A33="","",0.133*'Info Cuencas'!R33)</f>
        <v/>
      </c>
      <c r="D33" s="6" t="str">
        <f>IF(A33="","",0.6*'Info Cuencas'!R33+HUS!C33/2)</f>
        <v/>
      </c>
    </row>
    <row r="34" spans="1:4" x14ac:dyDescent="0.3">
      <c r="A34" t="str">
        <f>IF(ISBLANK('Info Cuencas'!A34),"",'Info Cuencas'!A34)</f>
        <v/>
      </c>
      <c r="B34" t="str">
        <f>IF(A34="","",0.133*'Info Cuencas'!R34)</f>
        <v/>
      </c>
      <c r="D34" s="6" t="str">
        <f>IF(A34="","",0.6*'Info Cuencas'!R34+HUS!C34/2)</f>
        <v/>
      </c>
    </row>
    <row r="35" spans="1:4" x14ac:dyDescent="0.3">
      <c r="A35" t="str">
        <f>IF(ISBLANK('Info Cuencas'!A35),"",'Info Cuencas'!A35)</f>
        <v/>
      </c>
      <c r="B35" t="str">
        <f>IF(A35="","",0.133*'Info Cuencas'!R35)</f>
        <v/>
      </c>
      <c r="D35" s="6" t="str">
        <f>IF(A35="","",0.6*'Info Cuencas'!R35+HUS!C35/2)</f>
        <v/>
      </c>
    </row>
    <row r="36" spans="1:4" x14ac:dyDescent="0.3">
      <c r="A36" t="str">
        <f>IF(ISBLANK('Info Cuencas'!A36),"",'Info Cuencas'!A36)</f>
        <v/>
      </c>
      <c r="B36" t="str">
        <f>IF(A36="","",0.133*'Info Cuencas'!R36)</f>
        <v/>
      </c>
      <c r="D36" s="6" t="str">
        <f>IF(A36="","",0.6*'Info Cuencas'!R36+HUS!C36/2)</f>
        <v/>
      </c>
    </row>
    <row r="37" spans="1:4" x14ac:dyDescent="0.3">
      <c r="A37" t="str">
        <f>IF(ISBLANK('Info Cuencas'!A37),"",'Info Cuencas'!A37)</f>
        <v/>
      </c>
      <c r="B37" t="str">
        <f>IF(A37="","",0.133*'Info Cuencas'!R37)</f>
        <v/>
      </c>
      <c r="D37" s="6" t="str">
        <f>IF(A37="","",0.6*'Info Cuencas'!R37+HUS!C37/2)</f>
        <v/>
      </c>
    </row>
    <row r="38" spans="1:4" x14ac:dyDescent="0.3">
      <c r="A38" t="str">
        <f>IF(ISBLANK('Info Cuencas'!A38),"",'Info Cuencas'!A38)</f>
        <v/>
      </c>
      <c r="B38" t="str">
        <f>IF(A38="","",0.133*'Info Cuencas'!R38)</f>
        <v/>
      </c>
      <c r="D38" s="6" t="str">
        <f>IF(A38="","",0.6*'Info Cuencas'!R38+HUS!C38/2)</f>
        <v/>
      </c>
    </row>
    <row r="39" spans="1:4" x14ac:dyDescent="0.3">
      <c r="A39" t="str">
        <f>IF(ISBLANK('Info Cuencas'!A39),"",'Info Cuencas'!A39)</f>
        <v/>
      </c>
      <c r="B39" t="str">
        <f>IF(A39="","",0.133*'Info Cuencas'!R39)</f>
        <v/>
      </c>
      <c r="D39" s="6" t="str">
        <f>IF(A39="","",0.6*'Info Cuencas'!R39+HUS!C39/2)</f>
        <v/>
      </c>
    </row>
    <row r="40" spans="1:4" x14ac:dyDescent="0.3">
      <c r="A40" t="str">
        <f>IF(ISBLANK('Info Cuencas'!A40),"",'Info Cuencas'!A40)</f>
        <v/>
      </c>
      <c r="B40" t="str">
        <f>IF(A40="","",0.133*'Info Cuencas'!R40)</f>
        <v/>
      </c>
      <c r="D40" s="6" t="str">
        <f>IF(A40="","",0.6*'Info Cuencas'!R40+HUS!C40/2)</f>
        <v/>
      </c>
    </row>
    <row r="41" spans="1:4" x14ac:dyDescent="0.3">
      <c r="A41" t="str">
        <f>IF(ISBLANK('Info Cuencas'!A41),"",'Info Cuencas'!A41)</f>
        <v/>
      </c>
      <c r="B41" t="str">
        <f>IF(A41="","",0.133*'Info Cuencas'!R41)</f>
        <v/>
      </c>
      <c r="D41" s="6" t="str">
        <f>IF(A41="","",0.6*'Info Cuencas'!R41+HUS!C41/2)</f>
        <v/>
      </c>
    </row>
    <row r="42" spans="1:4" x14ac:dyDescent="0.3">
      <c r="A42" t="str">
        <f>IF(ISBLANK('Info Cuencas'!A42),"",'Info Cuencas'!A42)</f>
        <v/>
      </c>
      <c r="B42" t="str">
        <f>IF(A42="","",0.133*'Info Cuencas'!R42)</f>
        <v/>
      </c>
      <c r="D42" s="6" t="str">
        <f>IF(A42="","",0.6*'Info Cuencas'!R42+HUS!C42/2)</f>
        <v/>
      </c>
    </row>
    <row r="43" spans="1:4" x14ac:dyDescent="0.3">
      <c r="A43" t="str">
        <f>IF(ISBLANK('Info Cuencas'!A43),"",'Info Cuencas'!A43)</f>
        <v/>
      </c>
      <c r="B43" t="str">
        <f>IF(A43="","",0.133*'Info Cuencas'!R43)</f>
        <v/>
      </c>
      <c r="D43" s="6" t="str">
        <f>IF(A43="","",0.6*'Info Cuencas'!R43+HUS!C43/2)</f>
        <v/>
      </c>
    </row>
    <row r="44" spans="1:4" x14ac:dyDescent="0.3">
      <c r="A44" t="str">
        <f>IF(ISBLANK('Info Cuencas'!A44),"",'Info Cuencas'!A44)</f>
        <v/>
      </c>
      <c r="B44" t="str">
        <f>IF(A44="","",0.133*'Info Cuencas'!R44)</f>
        <v/>
      </c>
      <c r="D44" s="6" t="str">
        <f>IF(A44="","",0.6*'Info Cuencas'!R44+HUS!C44/2)</f>
        <v/>
      </c>
    </row>
    <row r="45" spans="1:4" x14ac:dyDescent="0.3">
      <c r="A45" t="str">
        <f>IF(ISBLANK('Info Cuencas'!A45),"",'Info Cuencas'!A45)</f>
        <v/>
      </c>
      <c r="B45" t="str">
        <f>IF(A45="","",0.133*'Info Cuencas'!R45)</f>
        <v/>
      </c>
      <c r="D45" s="6" t="str">
        <f>IF(A45="","",0.6*'Info Cuencas'!R45+HUS!C45/2)</f>
        <v/>
      </c>
    </row>
    <row r="46" spans="1:4" x14ac:dyDescent="0.3">
      <c r="A46" t="str">
        <f>IF(ISBLANK('Info Cuencas'!A46),"",'Info Cuencas'!A46)</f>
        <v/>
      </c>
      <c r="B46" t="str">
        <f>IF(A46="","",0.133*'Info Cuencas'!R46)</f>
        <v/>
      </c>
      <c r="D46" s="6" t="str">
        <f>IF(A46="","",0.6*'Info Cuencas'!R46+HUS!C46/2)</f>
        <v/>
      </c>
    </row>
    <row r="47" spans="1:4" x14ac:dyDescent="0.3">
      <c r="A47" t="str">
        <f>IF(ISBLANK('Info Cuencas'!A47),"",'Info Cuencas'!A47)</f>
        <v/>
      </c>
      <c r="B47" t="str">
        <f>IF(A47="","",0.133*'Info Cuencas'!R47)</f>
        <v/>
      </c>
      <c r="D47" s="6" t="str">
        <f>IF(A47="","",0.6*'Info Cuencas'!R47+HUS!C47/2)</f>
        <v/>
      </c>
    </row>
    <row r="48" spans="1:4" x14ac:dyDescent="0.3">
      <c r="A48" t="str">
        <f>IF(ISBLANK('Info Cuencas'!A48),"",'Info Cuencas'!A48)</f>
        <v/>
      </c>
      <c r="B48" t="str">
        <f>IF(A48="","",0.133*'Info Cuencas'!R48)</f>
        <v/>
      </c>
      <c r="D48" s="6" t="str">
        <f>IF(A48="","",0.6*'Info Cuencas'!R48+HUS!C48/2)</f>
        <v/>
      </c>
    </row>
    <row r="49" spans="1:4" x14ac:dyDescent="0.3">
      <c r="A49" t="str">
        <f>IF(ISBLANK('Info Cuencas'!A49),"",'Info Cuencas'!A49)</f>
        <v/>
      </c>
      <c r="B49" t="str">
        <f>IF(A49="","",0.133*'Info Cuencas'!R49)</f>
        <v/>
      </c>
      <c r="D49" s="6" t="str">
        <f>IF(A49="","",0.6*'Info Cuencas'!R49+HUS!C49/2)</f>
        <v/>
      </c>
    </row>
    <row r="50" spans="1:4" x14ac:dyDescent="0.3">
      <c r="A50" t="str">
        <f>IF(ISBLANK('Info Cuencas'!A50),"",'Info Cuencas'!A50)</f>
        <v/>
      </c>
      <c r="B50" t="str">
        <f>IF(A50="","",0.133*'Info Cuencas'!R50)</f>
        <v/>
      </c>
      <c r="D50" s="6" t="str">
        <f>IF(A50="","",0.6*'Info Cuencas'!R50+HUS!C50/2)</f>
        <v/>
      </c>
    </row>
    <row r="51" spans="1:4" x14ac:dyDescent="0.3">
      <c r="A51" t="str">
        <f>IF(ISBLANK('Info Cuencas'!A51),"",'Info Cuencas'!A51)</f>
        <v/>
      </c>
      <c r="B51" t="str">
        <f>IF(A51="","",0.133*'Info Cuencas'!R51)</f>
        <v/>
      </c>
      <c r="D51" s="6" t="str">
        <f>IF(A51="","",0.6*'Info Cuencas'!R51+HUS!C51/2)</f>
        <v/>
      </c>
    </row>
    <row r="52" spans="1:4" x14ac:dyDescent="0.3">
      <c r="A52" t="str">
        <f>IF(ISBLANK('Info Cuencas'!A52),"",'Info Cuencas'!A52)</f>
        <v/>
      </c>
      <c r="B52" t="str">
        <f>IF(A52="","",0.133*'Info Cuencas'!R52)</f>
        <v/>
      </c>
      <c r="D52" s="6" t="str">
        <f>IF(A52="","",0.6*'Info Cuencas'!R52+HUS!C52/2)</f>
        <v/>
      </c>
    </row>
    <row r="53" spans="1:4" x14ac:dyDescent="0.3">
      <c r="A53" t="str">
        <f>IF(ISBLANK('Info Cuencas'!A53),"",'Info Cuencas'!A53)</f>
        <v/>
      </c>
      <c r="B53" t="str">
        <f>IF(A53="","",0.133*'Info Cuencas'!R53)</f>
        <v/>
      </c>
      <c r="D53" s="6" t="str">
        <f>IF(A53="","",0.6*'Info Cuencas'!R53+HUS!C53/2)</f>
        <v/>
      </c>
    </row>
    <row r="54" spans="1:4" x14ac:dyDescent="0.3">
      <c r="A54" t="str">
        <f>IF(ISBLANK('Info Cuencas'!A54),"",'Info Cuencas'!A54)</f>
        <v/>
      </c>
      <c r="B54" t="str">
        <f>IF(A54="","",0.133*'Info Cuencas'!R54)</f>
        <v/>
      </c>
      <c r="D54" s="6" t="str">
        <f>IF(A54="","",0.6*'Info Cuencas'!R54+HUS!C54/2)</f>
        <v/>
      </c>
    </row>
    <row r="55" spans="1:4" x14ac:dyDescent="0.3">
      <c r="A55" t="str">
        <f>IF(ISBLANK('Info Cuencas'!A55),"",'Info Cuencas'!A55)</f>
        <v/>
      </c>
      <c r="B55" t="str">
        <f>IF(A55="","",0.133*'Info Cuencas'!R55)</f>
        <v/>
      </c>
      <c r="D55" s="6" t="str">
        <f>IF(A55="","",0.6*'Info Cuencas'!R55+HUS!C55/2)</f>
        <v/>
      </c>
    </row>
    <row r="56" spans="1:4" x14ac:dyDescent="0.3">
      <c r="A56" t="str">
        <f>IF(ISBLANK('Info Cuencas'!A56),"",'Info Cuencas'!A56)</f>
        <v/>
      </c>
      <c r="B56" t="str">
        <f>IF(A56="","",0.133*'Info Cuencas'!R56)</f>
        <v/>
      </c>
      <c r="D56" s="6" t="str">
        <f>IF(A56="","",0.6*'Info Cuencas'!R56+HUS!C56/2)</f>
        <v/>
      </c>
    </row>
    <row r="57" spans="1:4" x14ac:dyDescent="0.3">
      <c r="A57" t="str">
        <f>IF(ISBLANK('Info Cuencas'!A57),"",'Info Cuencas'!A57)</f>
        <v/>
      </c>
      <c r="B57" t="str">
        <f>IF(A57="","",0.133*'Info Cuencas'!R57)</f>
        <v/>
      </c>
      <c r="D57" s="6" t="str">
        <f>IF(A57="","",0.6*'Info Cuencas'!R57+HUS!C57/2)</f>
        <v/>
      </c>
    </row>
    <row r="58" spans="1:4" x14ac:dyDescent="0.3">
      <c r="A58" t="str">
        <f>IF(ISBLANK('Info Cuencas'!A58),"",'Info Cuencas'!A58)</f>
        <v/>
      </c>
      <c r="B58" t="str">
        <f>IF(A58="","",0.133*'Info Cuencas'!R58)</f>
        <v/>
      </c>
      <c r="D58" s="6" t="str">
        <f>IF(A58="","",0.6*'Info Cuencas'!R58+HUS!C58/2)</f>
        <v/>
      </c>
    </row>
    <row r="59" spans="1:4" x14ac:dyDescent="0.3">
      <c r="A59" t="str">
        <f>IF(ISBLANK('Info Cuencas'!A59),"",'Info Cuencas'!A59)</f>
        <v/>
      </c>
      <c r="B59" t="str">
        <f>IF(A59="","",0.133*'Info Cuencas'!R59)</f>
        <v/>
      </c>
      <c r="D59" s="6" t="str">
        <f>IF(A59="","",0.6*'Info Cuencas'!R59+HUS!C59/2)</f>
        <v/>
      </c>
    </row>
    <row r="60" spans="1:4" x14ac:dyDescent="0.3">
      <c r="A60" t="str">
        <f>IF(ISBLANK('Info Cuencas'!A60),"",'Info Cuencas'!A60)</f>
        <v/>
      </c>
      <c r="B60" t="str">
        <f>IF(A60="","",0.133*'Info Cuencas'!R60)</f>
        <v/>
      </c>
      <c r="D60" s="6" t="str">
        <f>IF(A60="","",0.6*'Info Cuencas'!R60+HUS!C60/2)</f>
        <v/>
      </c>
    </row>
    <row r="61" spans="1:4" x14ac:dyDescent="0.3">
      <c r="A61" t="str">
        <f>IF(ISBLANK('Info Cuencas'!A61),"",'Info Cuencas'!A61)</f>
        <v/>
      </c>
      <c r="B61" t="str">
        <f>IF(A61="","",0.133*'Info Cuencas'!R61)</f>
        <v/>
      </c>
      <c r="D61" s="6" t="str">
        <f>IF(A61="","",0.6*'Info Cuencas'!R61+HUS!C61/2)</f>
        <v/>
      </c>
    </row>
    <row r="62" spans="1:4" x14ac:dyDescent="0.3">
      <c r="A62" t="str">
        <f>IF(ISBLANK('Info Cuencas'!A62),"",'Info Cuencas'!A62)</f>
        <v/>
      </c>
      <c r="B62" t="str">
        <f>IF(A62="","",0.133*'Info Cuencas'!R62)</f>
        <v/>
      </c>
      <c r="D62" s="6" t="str">
        <f>IF(A62="","",0.6*'Info Cuencas'!R62+HUS!C62/2)</f>
        <v/>
      </c>
    </row>
    <row r="63" spans="1:4" x14ac:dyDescent="0.3">
      <c r="A63" t="str">
        <f>IF(ISBLANK('Info Cuencas'!A63),"",'Info Cuencas'!A63)</f>
        <v/>
      </c>
      <c r="B63" t="str">
        <f>IF(A63="","",0.133*'Info Cuencas'!R63)</f>
        <v/>
      </c>
      <c r="D63" s="6" t="str">
        <f>IF(A63="","",0.6*'Info Cuencas'!R63+HUS!C63/2)</f>
        <v/>
      </c>
    </row>
    <row r="64" spans="1:4" x14ac:dyDescent="0.3">
      <c r="A64" t="str">
        <f>IF(ISBLANK('Info Cuencas'!A64),"",'Info Cuencas'!A64)</f>
        <v/>
      </c>
      <c r="B64" t="str">
        <f>IF(A64="","",0.133*'Info Cuencas'!R64)</f>
        <v/>
      </c>
      <c r="D64" s="6" t="str">
        <f>IF(A64="","",0.6*'Info Cuencas'!R64+HUS!C64/2)</f>
        <v/>
      </c>
    </row>
    <row r="65" spans="1:4" x14ac:dyDescent="0.3">
      <c r="A65" t="str">
        <f>IF(ISBLANK('Info Cuencas'!A65),"",'Info Cuencas'!A65)</f>
        <v/>
      </c>
      <c r="B65" t="str">
        <f>IF(A65="","",0.133*'Info Cuencas'!R65)</f>
        <v/>
      </c>
      <c r="D65" s="6" t="str">
        <f>IF(A65="","",0.6*'Info Cuencas'!R65+HUS!C65/2)</f>
        <v/>
      </c>
    </row>
    <row r="66" spans="1:4" x14ac:dyDescent="0.3">
      <c r="A66" t="str">
        <f>IF(ISBLANK('Info Cuencas'!A66),"",'Info Cuencas'!A66)</f>
        <v/>
      </c>
      <c r="B66" t="str">
        <f>IF(A66="","",0.133*'Info Cuencas'!R66)</f>
        <v/>
      </c>
      <c r="D66" s="6" t="str">
        <f>IF(A66="","",0.6*'Info Cuencas'!R66+HUS!C66/2)</f>
        <v/>
      </c>
    </row>
    <row r="67" spans="1:4" x14ac:dyDescent="0.3">
      <c r="A67" t="str">
        <f>IF(ISBLANK('Info Cuencas'!A67),"",'Info Cuencas'!A67)</f>
        <v/>
      </c>
      <c r="B67" t="str">
        <f>IF(A67="","",0.133*'Info Cuencas'!R67)</f>
        <v/>
      </c>
      <c r="D67" s="6" t="str">
        <f>IF(A67="","",0.6*'Info Cuencas'!R67+HUS!C67/2)</f>
        <v/>
      </c>
    </row>
    <row r="68" spans="1:4" x14ac:dyDescent="0.3">
      <c r="A68" t="str">
        <f>IF(ISBLANK('Info Cuencas'!A68),"",'Info Cuencas'!A68)</f>
        <v/>
      </c>
      <c r="B68" t="str">
        <f>IF(A68="","",0.133*'Info Cuencas'!R68)</f>
        <v/>
      </c>
      <c r="D68" s="6" t="str">
        <f>IF(A68="","",0.6*'Info Cuencas'!R68+HUS!C68/2)</f>
        <v/>
      </c>
    </row>
    <row r="69" spans="1:4" x14ac:dyDescent="0.3">
      <c r="A69" t="str">
        <f>IF(ISBLANK('Info Cuencas'!A69),"",'Info Cuencas'!A69)</f>
        <v/>
      </c>
      <c r="B69" t="str">
        <f>IF(A69="","",0.133*'Info Cuencas'!R69)</f>
        <v/>
      </c>
      <c r="D69" s="6" t="str">
        <f>IF(A69="","",0.6*'Info Cuencas'!R69+HUS!C69/2)</f>
        <v/>
      </c>
    </row>
    <row r="70" spans="1:4" x14ac:dyDescent="0.3">
      <c r="A70" t="str">
        <f>IF(ISBLANK('Info Cuencas'!A70),"",'Info Cuencas'!A70)</f>
        <v/>
      </c>
      <c r="B70" t="str">
        <f>IF(A70="","",0.133*'Info Cuencas'!R70)</f>
        <v/>
      </c>
      <c r="D70" s="6" t="str">
        <f>IF(A70="","",0.6*'Info Cuencas'!R70+HUS!C70/2)</f>
        <v/>
      </c>
    </row>
    <row r="71" spans="1:4" x14ac:dyDescent="0.3">
      <c r="A71" t="str">
        <f>IF(ISBLANK('Info Cuencas'!A71),"",'Info Cuencas'!A71)</f>
        <v/>
      </c>
      <c r="B71" t="str">
        <f>IF(A71="","",0.133*'Info Cuencas'!R71)</f>
        <v/>
      </c>
      <c r="D71" s="6" t="str">
        <f>IF(A71="","",0.6*'Info Cuencas'!R71+HUS!C71/2)</f>
        <v/>
      </c>
    </row>
    <row r="72" spans="1:4" x14ac:dyDescent="0.3">
      <c r="A72" t="str">
        <f>IF(ISBLANK('Info Cuencas'!A72),"",'Info Cuencas'!A72)</f>
        <v/>
      </c>
      <c r="B72" t="str">
        <f>IF(A72="","",0.133*'Info Cuencas'!R72)</f>
        <v/>
      </c>
      <c r="D72" s="6" t="str">
        <f>IF(A72="","",0.6*'Info Cuencas'!R72+HUS!C72/2)</f>
        <v/>
      </c>
    </row>
    <row r="73" spans="1:4" x14ac:dyDescent="0.3">
      <c r="A73" t="str">
        <f>IF(ISBLANK('Info Cuencas'!A73),"",'Info Cuencas'!A73)</f>
        <v/>
      </c>
      <c r="B73" t="str">
        <f>IF(A73="","",0.133*'Info Cuencas'!R73)</f>
        <v/>
      </c>
      <c r="D73" s="6" t="str">
        <f>IF(A73="","",0.6*'Info Cuencas'!R73+HUS!C73/2)</f>
        <v/>
      </c>
    </row>
    <row r="74" spans="1:4" x14ac:dyDescent="0.3">
      <c r="A74" t="str">
        <f>IF(ISBLANK('Info Cuencas'!A74),"",'Info Cuencas'!A74)</f>
        <v/>
      </c>
      <c r="B74" t="str">
        <f>IF(A74="","",0.133*'Info Cuencas'!R74)</f>
        <v/>
      </c>
      <c r="D74" s="6" t="str">
        <f>IF(A74="","",0.6*'Info Cuencas'!R74+HUS!C74/2)</f>
        <v/>
      </c>
    </row>
    <row r="75" spans="1:4" x14ac:dyDescent="0.3">
      <c r="A75" t="str">
        <f>IF(ISBLANK('Info Cuencas'!A75),"",'Info Cuencas'!A75)</f>
        <v/>
      </c>
      <c r="B75" t="str">
        <f>IF(A75="","",0.133*'Info Cuencas'!R75)</f>
        <v/>
      </c>
      <c r="D75" s="6" t="str">
        <f>IF(A75="","",0.6*'Info Cuencas'!R75+HUS!C75/2)</f>
        <v/>
      </c>
    </row>
    <row r="76" spans="1:4" x14ac:dyDescent="0.3">
      <c r="A76" t="str">
        <f>IF(ISBLANK('Info Cuencas'!A76),"",'Info Cuencas'!A76)</f>
        <v/>
      </c>
      <c r="B76" t="str">
        <f>IF(A76="","",0.133*'Info Cuencas'!R76)</f>
        <v/>
      </c>
      <c r="D76" s="6" t="str">
        <f>IF(A76="","",0.6*'Info Cuencas'!R76+HUS!C76/2)</f>
        <v/>
      </c>
    </row>
    <row r="77" spans="1:4" x14ac:dyDescent="0.3">
      <c r="A77" t="str">
        <f>IF(ISBLANK('Info Cuencas'!A77),"",'Info Cuencas'!A77)</f>
        <v/>
      </c>
      <c r="B77" t="str">
        <f>IF(A77="","",0.133*'Info Cuencas'!R77)</f>
        <v/>
      </c>
      <c r="D77" s="6" t="str">
        <f>IF(A77="","",0.6*'Info Cuencas'!R77+HUS!C77/2)</f>
        <v/>
      </c>
    </row>
    <row r="78" spans="1:4" x14ac:dyDescent="0.3">
      <c r="A78" t="str">
        <f>IF(ISBLANK('Info Cuencas'!A78),"",'Info Cuencas'!A78)</f>
        <v/>
      </c>
      <c r="B78" t="str">
        <f>IF(A78="","",0.133*'Info Cuencas'!R78)</f>
        <v/>
      </c>
      <c r="D78" s="6" t="str">
        <f>IF(A78="","",0.6*'Info Cuencas'!R78+HUS!C78/2)</f>
        <v/>
      </c>
    </row>
    <row r="79" spans="1:4" x14ac:dyDescent="0.3">
      <c r="A79" t="str">
        <f>IF(ISBLANK('Info Cuencas'!A79),"",'Info Cuencas'!A79)</f>
        <v/>
      </c>
      <c r="B79" t="str">
        <f>IF(A79="","",0.133*'Info Cuencas'!R79)</f>
        <v/>
      </c>
      <c r="D79" s="6" t="str">
        <f>IF(A79="","",0.6*'Info Cuencas'!R79+HUS!C79/2)</f>
        <v/>
      </c>
    </row>
    <row r="80" spans="1:4" x14ac:dyDescent="0.3">
      <c r="A80" t="str">
        <f>IF(ISBLANK('Info Cuencas'!A80),"",'Info Cuencas'!A80)</f>
        <v/>
      </c>
      <c r="B80" t="str">
        <f>IF(A80="","",0.133*'Info Cuencas'!R80)</f>
        <v/>
      </c>
      <c r="D80" s="6" t="str">
        <f>IF(A80="","",0.6*'Info Cuencas'!R80+HUS!C80/2)</f>
        <v/>
      </c>
    </row>
    <row r="81" spans="1:4" x14ac:dyDescent="0.3">
      <c r="A81" t="str">
        <f>IF(ISBLANK('Info Cuencas'!A81),"",'Info Cuencas'!A81)</f>
        <v/>
      </c>
      <c r="B81" t="str">
        <f>IF(A81="","",0.133*'Info Cuencas'!R81)</f>
        <v/>
      </c>
      <c r="D81" s="6" t="str">
        <f>IF(A81="","",0.6*'Info Cuencas'!R81+HUS!C81/2)</f>
        <v/>
      </c>
    </row>
    <row r="82" spans="1:4" x14ac:dyDescent="0.3">
      <c r="A82" t="str">
        <f>IF(ISBLANK('Info Cuencas'!A82),"",'Info Cuencas'!A82)</f>
        <v/>
      </c>
      <c r="B82" t="str">
        <f>IF(A82="","",0.133*'Info Cuencas'!R82)</f>
        <v/>
      </c>
      <c r="D82" s="6" t="str">
        <f>IF(A82="","",0.6*'Info Cuencas'!R82+HUS!C82/2)</f>
        <v/>
      </c>
    </row>
    <row r="83" spans="1:4" x14ac:dyDescent="0.3">
      <c r="A83" t="str">
        <f>IF(ISBLANK('Info Cuencas'!A83),"",'Info Cuencas'!A83)</f>
        <v/>
      </c>
      <c r="B83" t="str">
        <f>IF(A83="","",0.133*'Info Cuencas'!R83)</f>
        <v/>
      </c>
      <c r="D83" s="6" t="str">
        <f>IF(A83="","",0.6*'Info Cuencas'!R83+HUS!C83/2)</f>
        <v/>
      </c>
    </row>
    <row r="84" spans="1:4" x14ac:dyDescent="0.3">
      <c r="A84" t="str">
        <f>IF(ISBLANK('Info Cuencas'!A84),"",'Info Cuencas'!A84)</f>
        <v/>
      </c>
      <c r="B84" t="str">
        <f>IF(A84="","",0.133*'Info Cuencas'!R84)</f>
        <v/>
      </c>
      <c r="D84" s="6" t="str">
        <f>IF(A84="","",0.6*'Info Cuencas'!R84+HUS!C84/2)</f>
        <v/>
      </c>
    </row>
    <row r="85" spans="1:4" x14ac:dyDescent="0.3">
      <c r="A85" t="str">
        <f>IF(ISBLANK('Info Cuencas'!A85),"",'Info Cuencas'!A85)</f>
        <v/>
      </c>
      <c r="B85" t="str">
        <f>IF(A85="","",0.133*'Info Cuencas'!R85)</f>
        <v/>
      </c>
      <c r="D85" s="6" t="str">
        <f>IF(A85="","",0.6*'Info Cuencas'!R85+HUS!C85/2)</f>
        <v/>
      </c>
    </row>
    <row r="86" spans="1:4" x14ac:dyDescent="0.3">
      <c r="A86" t="str">
        <f>IF(ISBLANK('Info Cuencas'!A86),"",'Info Cuencas'!A86)</f>
        <v/>
      </c>
      <c r="B86" t="str">
        <f>IF(A86="","",0.133*'Info Cuencas'!R86)</f>
        <v/>
      </c>
      <c r="D86" s="6" t="str">
        <f>IF(A86="","",0.6*'Info Cuencas'!R86+HUS!C86/2)</f>
        <v/>
      </c>
    </row>
    <row r="87" spans="1:4" x14ac:dyDescent="0.3">
      <c r="A87" t="str">
        <f>IF(ISBLANK('Info Cuencas'!A87),"",'Info Cuencas'!A87)</f>
        <v/>
      </c>
      <c r="B87" t="str">
        <f>IF(A87="","",0.133*'Info Cuencas'!R87)</f>
        <v/>
      </c>
      <c r="D87" s="6" t="str">
        <f>IF(A87="","",0.6*'Info Cuencas'!R87+HUS!C87/2)</f>
        <v/>
      </c>
    </row>
    <row r="88" spans="1:4" x14ac:dyDescent="0.3">
      <c r="A88" t="str">
        <f>IF(ISBLANK('Info Cuencas'!A88),"",'Info Cuencas'!A88)</f>
        <v/>
      </c>
      <c r="B88" t="str">
        <f>IF(A88="","",0.133*'Info Cuencas'!R88)</f>
        <v/>
      </c>
      <c r="D88" s="6" t="str">
        <f>IF(A88="","",0.6*'Info Cuencas'!R88+HUS!C88/2)</f>
        <v/>
      </c>
    </row>
    <row r="89" spans="1:4" x14ac:dyDescent="0.3">
      <c r="A89" t="str">
        <f>IF(ISBLANK('Info Cuencas'!A89),"",'Info Cuencas'!A89)</f>
        <v/>
      </c>
      <c r="B89" t="str">
        <f>IF(A89="","",0.133*'Info Cuencas'!R89)</f>
        <v/>
      </c>
      <c r="D89" s="6" t="str">
        <f>IF(A89="","",0.6*'Info Cuencas'!R89+HUS!C89/2)</f>
        <v/>
      </c>
    </row>
    <row r="90" spans="1:4" x14ac:dyDescent="0.3">
      <c r="A90" t="str">
        <f>IF(ISBLANK('Info Cuencas'!A90),"",'Info Cuencas'!A90)</f>
        <v/>
      </c>
      <c r="B90" t="str">
        <f>IF(A90="","",0.133*'Info Cuencas'!R90)</f>
        <v/>
      </c>
      <c r="D90" s="6" t="str">
        <f>IF(A90="","",0.6*'Info Cuencas'!R90+HUS!C90/2)</f>
        <v/>
      </c>
    </row>
    <row r="91" spans="1:4" x14ac:dyDescent="0.3">
      <c r="A91" t="str">
        <f>IF(ISBLANK('Info Cuencas'!A91),"",'Info Cuencas'!A91)</f>
        <v/>
      </c>
      <c r="B91" t="str">
        <f>IF(A91="","",0.133*'Info Cuencas'!R91)</f>
        <v/>
      </c>
      <c r="D91" s="6" t="str">
        <f>IF(A91="","",0.6*'Info Cuencas'!R91+HUS!C91/2)</f>
        <v/>
      </c>
    </row>
    <row r="92" spans="1:4" x14ac:dyDescent="0.3">
      <c r="A92" t="str">
        <f>IF(ISBLANK('Info Cuencas'!A92),"",'Info Cuencas'!A92)</f>
        <v/>
      </c>
      <c r="B92" t="str">
        <f>IF(A92="","",0.133*'Info Cuencas'!R92)</f>
        <v/>
      </c>
      <c r="D92" s="6" t="str">
        <f>IF(A92="","",0.6*'Info Cuencas'!R92+HUS!C92/2)</f>
        <v/>
      </c>
    </row>
    <row r="93" spans="1:4" x14ac:dyDescent="0.3">
      <c r="A93" t="str">
        <f>IF(ISBLANK('Info Cuencas'!A93),"",'Info Cuencas'!A93)</f>
        <v/>
      </c>
      <c r="B93" t="str">
        <f>IF(A93="","",0.133*'Info Cuencas'!R93)</f>
        <v/>
      </c>
      <c r="D93" s="6" t="str">
        <f>IF(A93="","",0.6*'Info Cuencas'!R93+HUS!C93/2)</f>
        <v/>
      </c>
    </row>
    <row r="94" spans="1:4" x14ac:dyDescent="0.3">
      <c r="A94" t="str">
        <f>IF(ISBLANK('Info Cuencas'!A94),"",'Info Cuencas'!A94)</f>
        <v/>
      </c>
      <c r="B94" t="str">
        <f>IF(A94="","",0.133*'Info Cuencas'!R94)</f>
        <v/>
      </c>
      <c r="D94" s="6" t="str">
        <f>IF(A94="","",0.6*'Info Cuencas'!R94+HUS!C94/2)</f>
        <v/>
      </c>
    </row>
    <row r="95" spans="1:4" x14ac:dyDescent="0.3">
      <c r="A95" t="str">
        <f>IF(ISBLANK('Info Cuencas'!A95),"",'Info Cuencas'!A95)</f>
        <v/>
      </c>
      <c r="B95" t="str">
        <f>IF(A95="","",0.133*'Info Cuencas'!R95)</f>
        <v/>
      </c>
      <c r="D95" s="6" t="str">
        <f>IF(A95="","",0.6*'Info Cuencas'!R95+HUS!C95/2)</f>
        <v/>
      </c>
    </row>
    <row r="96" spans="1:4" x14ac:dyDescent="0.3">
      <c r="A96" t="str">
        <f>IF(ISBLANK('Info Cuencas'!A96),"",'Info Cuencas'!A96)</f>
        <v/>
      </c>
      <c r="B96" t="str">
        <f>IF(A96="","",0.133*'Info Cuencas'!R96)</f>
        <v/>
      </c>
      <c r="D96" s="6" t="str">
        <f>IF(A96="","",0.6*'Info Cuencas'!R96+HUS!C96/2)</f>
        <v/>
      </c>
    </row>
    <row r="97" spans="1:4" x14ac:dyDescent="0.3">
      <c r="A97" t="str">
        <f>IF(ISBLANK('Info Cuencas'!A97),"",'Info Cuencas'!A97)</f>
        <v/>
      </c>
      <c r="B97" t="str">
        <f>IF(A97="","",0.133*'Info Cuencas'!R97)</f>
        <v/>
      </c>
      <c r="D97" s="6" t="str">
        <f>IF(A97="","",0.6*'Info Cuencas'!R97+HUS!C97/2)</f>
        <v/>
      </c>
    </row>
    <row r="98" spans="1:4" x14ac:dyDescent="0.3">
      <c r="A98" t="str">
        <f>IF(ISBLANK('Info Cuencas'!A98),"",'Info Cuencas'!A98)</f>
        <v/>
      </c>
      <c r="B98" t="str">
        <f>IF(A98="","",0.133*'Info Cuencas'!R98)</f>
        <v/>
      </c>
      <c r="D98" s="6" t="str">
        <f>IF(A98="","",0.6*'Info Cuencas'!R98+HUS!C98/2)</f>
        <v/>
      </c>
    </row>
    <row r="99" spans="1:4" x14ac:dyDescent="0.3">
      <c r="A99" t="str">
        <f>IF(ISBLANK('Info Cuencas'!A99),"",'Info Cuencas'!A99)</f>
        <v/>
      </c>
      <c r="B99" t="str">
        <f>IF(A99="","",0.133*'Info Cuencas'!R99)</f>
        <v/>
      </c>
      <c r="D99" s="6" t="str">
        <f>IF(A99="","",0.6*'Info Cuencas'!R99+HUS!C99/2)</f>
        <v/>
      </c>
    </row>
    <row r="100" spans="1:4" x14ac:dyDescent="0.3">
      <c r="A100" t="str">
        <f>IF(ISBLANK('Info Cuencas'!A100),"",'Info Cuencas'!A100)</f>
        <v/>
      </c>
      <c r="B100" t="str">
        <f>IF(A100="","",0.133*'Info Cuencas'!R100)</f>
        <v/>
      </c>
      <c r="D100" s="6" t="str">
        <f>IF(A100="","",0.6*'Info Cuencas'!R100+HUS!C100/2)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BBB4-B484-4DEC-873C-57082AA401DF}">
  <dimension ref="A1:ALL10"/>
  <sheetViews>
    <sheetView tabSelected="1" workbookViewId="0">
      <selection activeCell="E9" sqref="E9"/>
    </sheetView>
  </sheetViews>
  <sheetFormatPr defaultRowHeight="14.4" x14ac:dyDescent="0.3"/>
  <sheetData>
    <row r="1" spans="1:1000" x14ac:dyDescent="0.3">
      <c r="A1" s="13" t="s">
        <v>29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2</v>
      </c>
      <c r="B2" s="4">
        <v>16.870809369354422</v>
      </c>
      <c r="C2" s="4">
        <v>17.969076714469335</v>
      </c>
    </row>
    <row r="3" spans="1:1000" x14ac:dyDescent="0.3">
      <c r="A3" s="9">
        <v>5</v>
      </c>
      <c r="B3" s="4">
        <v>36.426318663368143</v>
      </c>
      <c r="C3" s="4">
        <v>37.789158919797423</v>
      </c>
    </row>
    <row r="4" spans="1:1000" x14ac:dyDescent="0.3">
      <c r="A4" s="9">
        <v>10</v>
      </c>
      <c r="B4" s="4">
        <v>64.8600199840687</v>
      </c>
      <c r="C4" s="4">
        <v>69.798663682927625</v>
      </c>
    </row>
    <row r="5" spans="1:1000" x14ac:dyDescent="0.3">
      <c r="A5" s="9">
        <v>20</v>
      </c>
      <c r="B5" s="4">
        <v>107.45439769248219</v>
      </c>
      <c r="C5" s="4">
        <v>119.46405820001259</v>
      </c>
    </row>
    <row r="6" spans="1:1000" x14ac:dyDescent="0.3">
      <c r="A6" s="9">
        <v>25</v>
      </c>
      <c r="B6" s="4">
        <v>124.53759319840621</v>
      </c>
      <c r="C6" s="4">
        <v>139.65613722558817</v>
      </c>
    </row>
    <row r="7" spans="1:1000" x14ac:dyDescent="0.3">
      <c r="A7" s="9">
        <v>50</v>
      </c>
      <c r="B7" s="4">
        <v>189.25663528186786</v>
      </c>
      <c r="C7" s="4">
        <v>216.91364453208837</v>
      </c>
    </row>
    <row r="8" spans="1:1000" x14ac:dyDescent="0.3">
      <c r="A8" s="9">
        <v>100</v>
      </c>
      <c r="B8" s="4">
        <v>273.53095671068775</v>
      </c>
      <c r="C8" s="4">
        <v>318.56701982796545</v>
      </c>
    </row>
    <row r="9" spans="1:1000" x14ac:dyDescent="0.3">
      <c r="A9" s="9">
        <v>150</v>
      </c>
      <c r="B9" s="4">
        <v>326.78465066113125</v>
      </c>
      <c r="C9" s="4">
        <v>383.26556842471888</v>
      </c>
    </row>
    <row r="10" spans="1:1000" x14ac:dyDescent="0.3">
      <c r="A10" s="9">
        <v>200</v>
      </c>
      <c r="B10" s="4">
        <v>380.03834461157476</v>
      </c>
      <c r="C10" s="4">
        <v>447.96411702147219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C426-DF10-4E3D-8B05-2AE55E972C60}">
  <dimension ref="A1:ALL11"/>
  <sheetViews>
    <sheetView workbookViewId="0">
      <selection activeCell="F17" sqref="F17"/>
    </sheetView>
  </sheetViews>
  <sheetFormatPr defaultRowHeight="14.4" x14ac:dyDescent="0.3"/>
  <sheetData>
    <row r="1" spans="1:1000" x14ac:dyDescent="0.3">
      <c r="A1" t="s">
        <v>24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1</v>
      </c>
      <c r="B2" s="12">
        <v>0.14899999999999999</v>
      </c>
      <c r="C2" s="12">
        <v>0.14899999999999999</v>
      </c>
    </row>
    <row r="3" spans="1:1000" x14ac:dyDescent="0.3">
      <c r="A3" s="9">
        <v>2</v>
      </c>
      <c r="B3" s="12">
        <v>0.25900000000000001</v>
      </c>
      <c r="C3" s="12">
        <v>0.25900000000000001</v>
      </c>
    </row>
    <row r="4" spans="1:1000" x14ac:dyDescent="0.3">
      <c r="A4" s="9">
        <v>4</v>
      </c>
      <c r="B4" s="12">
        <v>0.438</v>
      </c>
      <c r="C4" s="12">
        <v>0.438</v>
      </c>
    </row>
    <row r="5" spans="1:1000" x14ac:dyDescent="0.3">
      <c r="A5" s="9">
        <v>6</v>
      </c>
      <c r="B5" s="12">
        <v>0.58699999999999997</v>
      </c>
      <c r="C5" s="12">
        <v>0.58699999999999997</v>
      </c>
    </row>
    <row r="6" spans="1:1000" x14ac:dyDescent="0.3">
      <c r="A6" s="9">
        <v>8</v>
      </c>
      <c r="B6" s="12">
        <v>0.65800000000000003</v>
      </c>
      <c r="C6" s="12">
        <v>0.65800000000000003</v>
      </c>
    </row>
    <row r="7" spans="1:1000" x14ac:dyDescent="0.3">
      <c r="A7" s="9">
        <v>10</v>
      </c>
      <c r="B7" s="12">
        <v>0.77600000000000002</v>
      </c>
      <c r="C7" s="12">
        <v>0.77600000000000002</v>
      </c>
    </row>
    <row r="8" spans="1:1000" x14ac:dyDescent="0.3">
      <c r="A8" s="9">
        <v>12</v>
      </c>
      <c r="B8" s="12">
        <v>0.81599999999999995</v>
      </c>
      <c r="C8" s="12">
        <v>0.81599999999999995</v>
      </c>
    </row>
    <row r="9" spans="1:1000" x14ac:dyDescent="0.3">
      <c r="A9" s="9">
        <v>14</v>
      </c>
      <c r="B9" s="12">
        <v>0.85599999999999998</v>
      </c>
      <c r="C9" s="12">
        <v>0.85599999999999998</v>
      </c>
    </row>
    <row r="10" spans="1:1000" x14ac:dyDescent="0.3">
      <c r="A10" s="9">
        <v>18</v>
      </c>
      <c r="B10" s="12">
        <v>0.90700000000000003</v>
      </c>
      <c r="C10" s="12">
        <v>0.90700000000000003</v>
      </c>
    </row>
    <row r="11" spans="1:1000" x14ac:dyDescent="0.3">
      <c r="A11" s="9">
        <v>24</v>
      </c>
      <c r="B11" s="12">
        <v>1</v>
      </c>
      <c r="C11" s="1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BFDF-ABB4-4287-9F76-768D0CF54D44}">
  <dimension ref="A1:E242"/>
  <sheetViews>
    <sheetView workbookViewId="0">
      <selection activeCell="J29" sqref="J29"/>
    </sheetView>
  </sheetViews>
  <sheetFormatPr defaultRowHeight="14.4" x14ac:dyDescent="0.3"/>
  <cols>
    <col min="1" max="1" width="9.6640625" bestFit="1" customWidth="1"/>
  </cols>
  <sheetData>
    <row r="1" spans="1:5" x14ac:dyDescent="0.3">
      <c r="A1" s="9" t="s">
        <v>24</v>
      </c>
      <c r="B1" s="9" t="s">
        <v>28</v>
      </c>
      <c r="C1" s="9" t="s">
        <v>27</v>
      </c>
      <c r="D1" s="9" t="s">
        <v>26</v>
      </c>
      <c r="E1" s="9" t="s">
        <v>25</v>
      </c>
    </row>
    <row r="2" spans="1:5" x14ac:dyDescent="0.3">
      <c r="A2" s="9">
        <v>0</v>
      </c>
      <c r="B2" s="4">
        <v>0</v>
      </c>
      <c r="C2" s="4">
        <v>0</v>
      </c>
      <c r="D2" s="4">
        <v>0</v>
      </c>
      <c r="E2" s="4">
        <v>0</v>
      </c>
    </row>
    <row r="3" spans="1:5" x14ac:dyDescent="0.3">
      <c r="A3" s="4">
        <v>0.1</v>
      </c>
      <c r="B3" s="4">
        <v>0.17399999999999999</v>
      </c>
      <c r="C3" s="4">
        <v>0.22399999999999998</v>
      </c>
      <c r="D3" s="4">
        <v>0.10100000000000001</v>
      </c>
      <c r="E3" s="4">
        <v>0.1</v>
      </c>
    </row>
    <row r="4" spans="1:5" x14ac:dyDescent="0.3">
      <c r="A4" s="4">
        <v>0.2</v>
      </c>
      <c r="B4" s="4">
        <v>0.34799999999999998</v>
      </c>
      <c r="C4" s="4">
        <v>0.432</v>
      </c>
      <c r="D4" s="4">
        <v>0.20200000000000001</v>
      </c>
      <c r="E4" s="4">
        <v>0.2</v>
      </c>
    </row>
    <row r="5" spans="1:5" x14ac:dyDescent="0.3">
      <c r="A5" s="4">
        <v>0.30000000000000004</v>
      </c>
      <c r="B5" s="4">
        <v>0.52200000000000002</v>
      </c>
      <c r="C5" s="4">
        <v>0.628</v>
      </c>
      <c r="D5" s="4">
        <v>0.30499999999999999</v>
      </c>
      <c r="E5" s="4">
        <v>0.3</v>
      </c>
    </row>
    <row r="6" spans="1:5" x14ac:dyDescent="0.3">
      <c r="A6" s="4">
        <v>0.4</v>
      </c>
      <c r="B6" s="4">
        <v>0.69699999999999995</v>
      </c>
      <c r="C6" s="4">
        <v>0.81600000000000006</v>
      </c>
      <c r="D6" s="4">
        <v>0.40800000000000003</v>
      </c>
      <c r="E6" s="4">
        <v>0.4</v>
      </c>
    </row>
    <row r="7" spans="1:5" x14ac:dyDescent="0.3">
      <c r="A7" s="4">
        <v>0.5</v>
      </c>
      <c r="B7" s="4">
        <v>0.87100000000000011</v>
      </c>
      <c r="C7" s="4">
        <v>1</v>
      </c>
      <c r="D7" s="4">
        <v>0.51300000000000001</v>
      </c>
      <c r="E7" s="4">
        <v>0.5</v>
      </c>
    </row>
    <row r="8" spans="1:5" x14ac:dyDescent="0.3">
      <c r="A8" s="4">
        <v>0.6</v>
      </c>
      <c r="B8" s="4">
        <v>1.046</v>
      </c>
      <c r="C8" s="4">
        <v>1.1839999999999999</v>
      </c>
      <c r="D8" s="4">
        <v>0.61799999999999999</v>
      </c>
      <c r="E8" s="4">
        <v>0.6</v>
      </c>
    </row>
    <row r="9" spans="1:5" x14ac:dyDescent="0.3">
      <c r="A9" s="4">
        <v>0.7</v>
      </c>
      <c r="B9" s="4">
        <v>1.22</v>
      </c>
      <c r="C9" s="4">
        <v>1.3719999999999999</v>
      </c>
      <c r="D9" s="4">
        <v>0.72500000000000009</v>
      </c>
      <c r="E9" s="4">
        <v>0.70000000000000007</v>
      </c>
    </row>
    <row r="10" spans="1:5" x14ac:dyDescent="0.3">
      <c r="A10" s="4">
        <v>0.79999999999999993</v>
      </c>
      <c r="B10" s="4">
        <v>1.395</v>
      </c>
      <c r="C10" s="4">
        <v>1.5680000000000001</v>
      </c>
      <c r="D10" s="4">
        <v>0.83199999999999996</v>
      </c>
      <c r="E10" s="4">
        <v>0.8</v>
      </c>
    </row>
    <row r="11" spans="1:5" x14ac:dyDescent="0.3">
      <c r="A11" s="4">
        <v>0.89999999999999991</v>
      </c>
      <c r="B11" s="4">
        <v>1.5699999999999998</v>
      </c>
      <c r="C11" s="4">
        <v>1.7760000000000002</v>
      </c>
      <c r="D11" s="4">
        <v>0.94099999999999995</v>
      </c>
      <c r="E11" s="4">
        <v>0.89999999999999991</v>
      </c>
    </row>
    <row r="12" spans="1:5" x14ac:dyDescent="0.3">
      <c r="A12" s="4">
        <v>0.99999999999999989</v>
      </c>
      <c r="B12" s="4">
        <v>1.7450000000000001</v>
      </c>
      <c r="C12" s="4">
        <v>2</v>
      </c>
      <c r="D12" s="4">
        <v>1.05</v>
      </c>
      <c r="E12" s="4">
        <v>1</v>
      </c>
    </row>
    <row r="13" spans="1:5" x14ac:dyDescent="0.3">
      <c r="A13" s="4">
        <v>1.0999999999999999</v>
      </c>
      <c r="B13" s="4">
        <v>1.92</v>
      </c>
      <c r="C13" s="4">
        <v>2.2759999999999998</v>
      </c>
      <c r="D13" s="4">
        <v>1.161</v>
      </c>
      <c r="E13" s="4">
        <v>1.0999999999999999</v>
      </c>
    </row>
    <row r="14" spans="1:5" x14ac:dyDescent="0.3">
      <c r="A14" s="4">
        <v>1.2</v>
      </c>
      <c r="B14" s="4">
        <v>2.0950000000000002</v>
      </c>
      <c r="C14" s="4">
        <v>2.5680000000000001</v>
      </c>
      <c r="D14" s="4">
        <v>1.272</v>
      </c>
      <c r="E14" s="4">
        <v>1.2</v>
      </c>
    </row>
    <row r="15" spans="1:5" x14ac:dyDescent="0.3">
      <c r="A15" s="4">
        <v>1.3</v>
      </c>
      <c r="B15" s="4">
        <v>2.27</v>
      </c>
      <c r="C15" s="4">
        <v>2.8719999999999999</v>
      </c>
      <c r="D15" s="4">
        <v>1.385</v>
      </c>
      <c r="E15" s="4">
        <v>1.3</v>
      </c>
    </row>
    <row r="16" spans="1:5" x14ac:dyDescent="0.3">
      <c r="A16" s="4">
        <v>1.4000000000000001</v>
      </c>
      <c r="B16" s="4">
        <v>2.4459999999999997</v>
      </c>
      <c r="C16" s="4">
        <v>3.1840000000000002</v>
      </c>
      <c r="D16" s="4">
        <v>1.498</v>
      </c>
      <c r="E16" s="4">
        <v>1.4000000000000001</v>
      </c>
    </row>
    <row r="17" spans="1:5" x14ac:dyDescent="0.3">
      <c r="A17" s="4">
        <v>1.5000000000000002</v>
      </c>
      <c r="B17" s="4">
        <v>2.621</v>
      </c>
      <c r="C17" s="4">
        <v>3.5000000000000004</v>
      </c>
      <c r="D17" s="4">
        <v>1.6129999999999998</v>
      </c>
      <c r="E17" s="4">
        <v>1.5</v>
      </c>
    </row>
    <row r="18" spans="1:5" x14ac:dyDescent="0.3">
      <c r="A18" s="4">
        <v>1.6000000000000003</v>
      </c>
      <c r="B18" s="4">
        <v>2.7969999999999997</v>
      </c>
      <c r="C18" s="4">
        <v>3.7969999999999997</v>
      </c>
      <c r="D18" s="4">
        <v>1.728</v>
      </c>
      <c r="E18" s="4">
        <v>1.6</v>
      </c>
    </row>
    <row r="19" spans="1:5" x14ac:dyDescent="0.3">
      <c r="A19" s="4">
        <v>1.7000000000000004</v>
      </c>
      <c r="B19" s="4">
        <v>2.972</v>
      </c>
      <c r="C19" s="4">
        <v>4.0949999999999998</v>
      </c>
      <c r="D19" s="4">
        <v>1.8450000000000002</v>
      </c>
      <c r="E19" s="4">
        <v>1.7000000000000002</v>
      </c>
    </row>
    <row r="20" spans="1:5" x14ac:dyDescent="0.3">
      <c r="A20" s="4">
        <v>1.8000000000000005</v>
      </c>
      <c r="B20" s="4">
        <v>3.1480000000000001</v>
      </c>
      <c r="C20" s="4">
        <v>4.3940000000000001</v>
      </c>
      <c r="D20" s="4">
        <v>1.9619999999999997</v>
      </c>
      <c r="E20" s="4">
        <v>1.7999999999999998</v>
      </c>
    </row>
    <row r="21" spans="1:5" x14ac:dyDescent="0.3">
      <c r="A21" s="4">
        <v>1.9000000000000006</v>
      </c>
      <c r="B21" s="4">
        <v>3.3239999999999998</v>
      </c>
      <c r="C21" s="4">
        <v>4.6950000000000003</v>
      </c>
      <c r="D21" s="4">
        <v>2.081</v>
      </c>
      <c r="E21" s="4">
        <v>1.9</v>
      </c>
    </row>
    <row r="22" spans="1:5" x14ac:dyDescent="0.3">
      <c r="A22" s="4">
        <v>2.0000000000000004</v>
      </c>
      <c r="B22" s="4">
        <v>3.5000000000000004</v>
      </c>
      <c r="C22" s="4">
        <v>5</v>
      </c>
      <c r="D22" s="4">
        <v>2.1999999999999997</v>
      </c>
      <c r="E22" s="4">
        <v>2</v>
      </c>
    </row>
    <row r="23" spans="1:5" x14ac:dyDescent="0.3">
      <c r="A23" s="4">
        <v>2.1000000000000005</v>
      </c>
      <c r="B23" s="4">
        <v>3.6769999999999996</v>
      </c>
      <c r="C23" s="4">
        <v>5.3150000000000004</v>
      </c>
      <c r="D23" s="4">
        <v>2.3210000000000002</v>
      </c>
      <c r="E23" s="4">
        <v>2.101</v>
      </c>
    </row>
    <row r="24" spans="1:5" x14ac:dyDescent="0.3">
      <c r="A24" s="4">
        <v>2.2000000000000006</v>
      </c>
      <c r="B24" s="4">
        <v>3.8580000000000005</v>
      </c>
      <c r="C24" s="4">
        <v>5.633</v>
      </c>
      <c r="D24" s="4">
        <v>2.4420000000000002</v>
      </c>
      <c r="E24" s="4">
        <v>2.2030000000000003</v>
      </c>
    </row>
    <row r="25" spans="1:5" x14ac:dyDescent="0.3">
      <c r="A25" s="4">
        <v>2.3000000000000007</v>
      </c>
      <c r="B25" s="4">
        <v>4.0410000000000004</v>
      </c>
      <c r="C25" s="4">
        <v>5.9540000000000006</v>
      </c>
      <c r="D25" s="4">
        <v>2.5649999999999999</v>
      </c>
      <c r="E25" s="4">
        <v>2.3069999999999999</v>
      </c>
    </row>
    <row r="26" spans="1:5" x14ac:dyDescent="0.3">
      <c r="A26" s="4">
        <v>2.4000000000000008</v>
      </c>
      <c r="B26" s="4">
        <v>4.2270000000000003</v>
      </c>
      <c r="C26" s="4">
        <v>6.2759999999999998</v>
      </c>
      <c r="D26" s="4">
        <v>2.6880000000000002</v>
      </c>
      <c r="E26" s="4">
        <v>2.4119999999999999</v>
      </c>
    </row>
    <row r="27" spans="1:5" x14ac:dyDescent="0.3">
      <c r="A27" s="4">
        <v>2.5000000000000009</v>
      </c>
      <c r="B27" s="4">
        <v>4.4159999999999995</v>
      </c>
      <c r="C27" s="4">
        <v>6.6000000000000005</v>
      </c>
      <c r="D27" s="4">
        <v>2.8129999999999997</v>
      </c>
      <c r="E27" s="4">
        <v>2.5190000000000001</v>
      </c>
    </row>
    <row r="28" spans="1:5" x14ac:dyDescent="0.3">
      <c r="A28" s="4">
        <v>2.600000000000001</v>
      </c>
      <c r="B28" s="4">
        <v>4.6080000000000005</v>
      </c>
      <c r="C28" s="4">
        <v>6.92</v>
      </c>
      <c r="D28" s="4">
        <v>2.9380000000000002</v>
      </c>
      <c r="E28" s="4">
        <v>2.6270000000000002</v>
      </c>
    </row>
    <row r="29" spans="1:5" x14ac:dyDescent="0.3">
      <c r="A29" s="4">
        <v>2.7000000000000011</v>
      </c>
      <c r="B29" s="4">
        <v>4.8029999999999999</v>
      </c>
      <c r="C29" s="4">
        <v>7.24</v>
      </c>
      <c r="D29" s="4">
        <v>3.0649999999999999</v>
      </c>
      <c r="E29" s="4">
        <v>2.7369999999999997</v>
      </c>
    </row>
    <row r="30" spans="1:5" x14ac:dyDescent="0.3">
      <c r="A30" s="4">
        <v>2.8000000000000012</v>
      </c>
      <c r="B30" s="4">
        <v>5.0009999999999994</v>
      </c>
      <c r="C30" s="4">
        <v>7.5600000000000005</v>
      </c>
      <c r="D30" s="4">
        <v>3.1919999999999997</v>
      </c>
      <c r="E30" s="4">
        <v>2.8479999999999999</v>
      </c>
    </row>
    <row r="31" spans="1:5" x14ac:dyDescent="0.3">
      <c r="A31" s="4">
        <v>2.9000000000000012</v>
      </c>
      <c r="B31" s="4">
        <v>5.2010000000000005</v>
      </c>
      <c r="C31" s="4">
        <v>7.88</v>
      </c>
      <c r="D31" s="4">
        <v>3.3210000000000002</v>
      </c>
      <c r="E31" s="4">
        <v>2.9610000000000003</v>
      </c>
    </row>
    <row r="32" spans="1:5" x14ac:dyDescent="0.3">
      <c r="A32" s="4">
        <v>3.0000000000000013</v>
      </c>
      <c r="B32" s="4">
        <v>5.4050000000000002</v>
      </c>
      <c r="C32" s="4">
        <v>8.2000000000000011</v>
      </c>
      <c r="D32" s="4">
        <v>3.45</v>
      </c>
      <c r="E32" s="4">
        <v>3.0750000000000002</v>
      </c>
    </row>
    <row r="33" spans="1:5" x14ac:dyDescent="0.3">
      <c r="A33" s="4">
        <v>3.1000000000000014</v>
      </c>
      <c r="B33" s="4">
        <v>5.6109999999999998</v>
      </c>
      <c r="C33" s="4">
        <v>8.5139999999999993</v>
      </c>
      <c r="D33" s="4">
        <v>3.581</v>
      </c>
      <c r="E33" s="4">
        <v>3.1910000000000003</v>
      </c>
    </row>
    <row r="34" spans="1:5" x14ac:dyDescent="0.3">
      <c r="A34" s="4">
        <v>3.2000000000000015</v>
      </c>
      <c r="B34" s="4">
        <v>5.8209999999999997</v>
      </c>
      <c r="C34" s="4">
        <v>8.8289999999999988</v>
      </c>
      <c r="D34" s="4">
        <v>3.7120000000000002</v>
      </c>
      <c r="E34" s="4">
        <v>3.3079999999999998</v>
      </c>
    </row>
    <row r="35" spans="1:5" x14ac:dyDescent="0.3">
      <c r="A35" s="4">
        <v>3.3000000000000016</v>
      </c>
      <c r="B35" s="4">
        <v>6.0330000000000004</v>
      </c>
      <c r="C35" s="4">
        <v>9.1470000000000002</v>
      </c>
      <c r="D35" s="4">
        <v>3.8449999999999998</v>
      </c>
      <c r="E35" s="4">
        <v>3.427</v>
      </c>
    </row>
    <row r="36" spans="1:5" x14ac:dyDescent="0.3">
      <c r="A36" s="4">
        <v>3.4000000000000017</v>
      </c>
      <c r="B36" s="4">
        <v>6.2480000000000002</v>
      </c>
      <c r="C36" s="4">
        <v>9.4710000000000001</v>
      </c>
      <c r="D36" s="4">
        <v>3.9780000000000002</v>
      </c>
      <c r="E36" s="4">
        <v>3.5470000000000002</v>
      </c>
    </row>
    <row r="37" spans="1:5" x14ac:dyDescent="0.3">
      <c r="A37" s="4">
        <v>3.5000000000000018</v>
      </c>
      <c r="B37" s="4">
        <v>6.4659999999999993</v>
      </c>
      <c r="C37" s="4">
        <v>9.8000000000000007</v>
      </c>
      <c r="D37" s="4">
        <v>4.1129999999999995</v>
      </c>
      <c r="E37" s="4">
        <v>3.669</v>
      </c>
    </row>
    <row r="38" spans="1:5" x14ac:dyDescent="0.3">
      <c r="A38" s="4">
        <v>3.6000000000000019</v>
      </c>
      <c r="B38" s="4">
        <v>6.6870000000000003</v>
      </c>
      <c r="C38" s="4">
        <v>10.147</v>
      </c>
      <c r="D38" s="4">
        <v>4.2479999999999993</v>
      </c>
      <c r="E38" s="4">
        <v>3.7920000000000003</v>
      </c>
    </row>
    <row r="39" spans="1:5" x14ac:dyDescent="0.3">
      <c r="A39" s="4">
        <v>3.700000000000002</v>
      </c>
      <c r="B39" s="4">
        <v>6.9110000000000005</v>
      </c>
      <c r="C39" s="4">
        <v>10.502000000000001</v>
      </c>
      <c r="D39" s="4">
        <v>4.3849999999999998</v>
      </c>
      <c r="E39" s="4">
        <v>3.9170000000000003</v>
      </c>
    </row>
    <row r="40" spans="1:5" x14ac:dyDescent="0.3">
      <c r="A40" s="4">
        <v>3.800000000000002</v>
      </c>
      <c r="B40" s="4">
        <v>7.1379999999999999</v>
      </c>
      <c r="C40" s="4">
        <v>10.862</v>
      </c>
      <c r="D40" s="4">
        <v>4.5220000000000002</v>
      </c>
      <c r="E40" s="4">
        <v>4.0430000000000001</v>
      </c>
    </row>
    <row r="41" spans="1:5" x14ac:dyDescent="0.3">
      <c r="A41" s="4">
        <v>3.9000000000000021</v>
      </c>
      <c r="B41" s="4">
        <v>7.367</v>
      </c>
      <c r="C41" s="4">
        <v>11.228999999999999</v>
      </c>
      <c r="D41" s="4">
        <v>4.6609999999999996</v>
      </c>
      <c r="E41" s="4">
        <v>4.1709999999999994</v>
      </c>
    </row>
    <row r="42" spans="1:5" x14ac:dyDescent="0.3">
      <c r="A42" s="4">
        <v>4.0000000000000018</v>
      </c>
      <c r="B42" s="4">
        <v>7.6</v>
      </c>
      <c r="C42" s="4">
        <v>11.600000000000001</v>
      </c>
      <c r="D42" s="4">
        <v>4.8</v>
      </c>
      <c r="E42" s="4">
        <v>4.3</v>
      </c>
    </row>
    <row r="43" spans="1:5" x14ac:dyDescent="0.3">
      <c r="A43" s="4">
        <v>4.1000000000000014</v>
      </c>
      <c r="B43" s="4">
        <v>7.835</v>
      </c>
      <c r="C43" s="4">
        <v>11.969000000000001</v>
      </c>
      <c r="D43" s="4">
        <v>4.9409999999999998</v>
      </c>
      <c r="E43" s="4">
        <v>4.431</v>
      </c>
    </row>
    <row r="44" spans="1:5" x14ac:dyDescent="0.3">
      <c r="A44" s="4">
        <v>4.2000000000000011</v>
      </c>
      <c r="B44" s="4">
        <v>8.07</v>
      </c>
      <c r="C44" s="4">
        <v>12.342000000000001</v>
      </c>
      <c r="D44" s="4">
        <v>5.0840000000000005</v>
      </c>
      <c r="E44" s="4">
        <v>4.5629999999999997</v>
      </c>
    </row>
    <row r="45" spans="1:5" x14ac:dyDescent="0.3">
      <c r="A45" s="4">
        <v>4.3000000000000007</v>
      </c>
      <c r="B45" s="4">
        <v>8.3070000000000004</v>
      </c>
      <c r="C45" s="4">
        <v>12.720999999999998</v>
      </c>
      <c r="D45" s="4">
        <v>5.2290000000000001</v>
      </c>
      <c r="E45" s="4">
        <v>4.6970000000000001</v>
      </c>
    </row>
    <row r="46" spans="1:5" x14ac:dyDescent="0.3">
      <c r="A46" s="4">
        <v>4.4000000000000004</v>
      </c>
      <c r="B46" s="4">
        <v>8.5449999999999999</v>
      </c>
      <c r="C46" s="4">
        <v>13.106999999999999</v>
      </c>
      <c r="D46" s="4">
        <v>5.3760000000000003</v>
      </c>
      <c r="E46" s="4">
        <v>4.8319999999999999</v>
      </c>
    </row>
    <row r="47" spans="1:5" x14ac:dyDescent="0.3">
      <c r="A47" s="4">
        <v>4.5</v>
      </c>
      <c r="B47" s="4">
        <v>8.7840000000000007</v>
      </c>
      <c r="C47" s="4">
        <v>13.5</v>
      </c>
      <c r="D47" s="4">
        <v>5.5250000000000004</v>
      </c>
      <c r="E47" s="4">
        <v>4.9689999999999994</v>
      </c>
    </row>
    <row r="48" spans="1:5" x14ac:dyDescent="0.3">
      <c r="A48" s="4">
        <v>4.5999999999999996</v>
      </c>
      <c r="B48" s="4">
        <v>9.0240000000000009</v>
      </c>
      <c r="C48" s="4">
        <v>13.901</v>
      </c>
      <c r="D48" s="4">
        <v>5.6760000000000002</v>
      </c>
      <c r="E48" s="4">
        <v>5.1069999999999993</v>
      </c>
    </row>
    <row r="49" spans="1:5" x14ac:dyDescent="0.3">
      <c r="A49" s="4">
        <v>4.6999999999999993</v>
      </c>
      <c r="B49" s="4">
        <v>9.2649999999999988</v>
      </c>
      <c r="C49" s="4">
        <v>14.31</v>
      </c>
      <c r="D49" s="4">
        <v>5.8289999999999997</v>
      </c>
      <c r="E49" s="4">
        <v>5.2469999999999999</v>
      </c>
    </row>
    <row r="50" spans="1:5" x14ac:dyDescent="0.3">
      <c r="A50" s="4">
        <v>4.7999999999999989</v>
      </c>
      <c r="B50" s="4">
        <v>9.5069999999999997</v>
      </c>
      <c r="C50" s="4">
        <v>14.729000000000001</v>
      </c>
      <c r="D50" s="4">
        <v>5.984</v>
      </c>
      <c r="E50" s="4">
        <v>5.3879999999999999</v>
      </c>
    </row>
    <row r="51" spans="1:5" x14ac:dyDescent="0.3">
      <c r="A51" s="4">
        <v>4.8999999999999986</v>
      </c>
      <c r="B51" s="4">
        <v>9.7509999999999994</v>
      </c>
      <c r="C51" s="4">
        <v>15.159000000000001</v>
      </c>
      <c r="D51" s="4">
        <v>6.141</v>
      </c>
      <c r="E51" s="4">
        <v>5.5309999999999997</v>
      </c>
    </row>
    <row r="52" spans="1:5" x14ac:dyDescent="0.3">
      <c r="A52" s="4">
        <v>4.9999999999999982</v>
      </c>
      <c r="B52" s="4">
        <v>9.9949999999999992</v>
      </c>
      <c r="C52" s="4">
        <v>15.6</v>
      </c>
      <c r="D52" s="4">
        <v>6.3</v>
      </c>
      <c r="E52" s="4">
        <v>5.6749999999999998</v>
      </c>
    </row>
    <row r="53" spans="1:5" x14ac:dyDescent="0.3">
      <c r="A53" s="4">
        <v>5.0999999999999979</v>
      </c>
      <c r="B53" s="4">
        <v>10.241</v>
      </c>
      <c r="C53" s="4">
        <v>16.059000000000001</v>
      </c>
      <c r="D53" s="4">
        <v>6.4610000000000003</v>
      </c>
      <c r="E53" s="4">
        <v>5.8209999999999997</v>
      </c>
    </row>
    <row r="54" spans="1:5" x14ac:dyDescent="0.3">
      <c r="A54" s="4">
        <v>5.1999999999999975</v>
      </c>
      <c r="B54" s="4">
        <v>10.487</v>
      </c>
      <c r="C54" s="4">
        <v>16.53</v>
      </c>
      <c r="D54" s="4">
        <v>6.6239999999999997</v>
      </c>
      <c r="E54" s="4">
        <v>5.968</v>
      </c>
    </row>
    <row r="55" spans="1:5" x14ac:dyDescent="0.3">
      <c r="A55" s="4">
        <v>5.2999999999999972</v>
      </c>
      <c r="B55" s="4">
        <v>10.734999999999999</v>
      </c>
      <c r="C55" s="4">
        <v>17.011000000000003</v>
      </c>
      <c r="D55" s="4">
        <v>6.7890000000000006</v>
      </c>
      <c r="E55" s="4">
        <v>6.117</v>
      </c>
    </row>
    <row r="56" spans="1:5" x14ac:dyDescent="0.3">
      <c r="A56" s="4">
        <v>5.3999999999999968</v>
      </c>
      <c r="B56" s="4">
        <v>10.984</v>
      </c>
      <c r="C56" s="4">
        <v>17.501000000000001</v>
      </c>
      <c r="D56" s="4">
        <v>6.9559999999999995</v>
      </c>
      <c r="E56" s="4">
        <v>6.2670000000000003</v>
      </c>
    </row>
    <row r="57" spans="1:5" x14ac:dyDescent="0.3">
      <c r="A57" s="4">
        <v>5.4999999999999964</v>
      </c>
      <c r="B57" s="4">
        <v>11.234</v>
      </c>
      <c r="C57" s="4">
        <v>18</v>
      </c>
      <c r="D57" s="4">
        <v>7.1249999999999991</v>
      </c>
      <c r="E57" s="4">
        <v>6.4189999999999996</v>
      </c>
    </row>
    <row r="58" spans="1:5" x14ac:dyDescent="0.3">
      <c r="A58" s="4">
        <v>5.5999999999999961</v>
      </c>
      <c r="B58" s="4">
        <v>11.484999999999999</v>
      </c>
      <c r="C58" s="4">
        <v>18.494</v>
      </c>
      <c r="D58" s="4">
        <v>7.2959999999999994</v>
      </c>
      <c r="E58" s="4">
        <v>6.5720000000000001</v>
      </c>
    </row>
    <row r="59" spans="1:5" x14ac:dyDescent="0.3">
      <c r="A59" s="4">
        <v>5.6999999999999957</v>
      </c>
      <c r="B59" s="4">
        <v>11.737</v>
      </c>
      <c r="C59" s="4">
        <v>18.998999999999999</v>
      </c>
      <c r="D59" s="4">
        <v>7.4690000000000003</v>
      </c>
      <c r="E59" s="4">
        <v>6.7269999999999994</v>
      </c>
    </row>
    <row r="60" spans="1:5" x14ac:dyDescent="0.3">
      <c r="A60" s="4">
        <v>5.7999999999999954</v>
      </c>
      <c r="B60" s="4">
        <v>11.99</v>
      </c>
      <c r="C60" s="4">
        <v>19.516999999999999</v>
      </c>
      <c r="D60" s="4">
        <v>7.6439999999999992</v>
      </c>
      <c r="E60" s="4">
        <v>6.883</v>
      </c>
    </row>
    <row r="61" spans="1:5" x14ac:dyDescent="0.3">
      <c r="A61" s="4">
        <v>5.899999999999995</v>
      </c>
      <c r="B61" s="4">
        <v>12.245000000000001</v>
      </c>
      <c r="C61" s="4">
        <v>20.048999999999999</v>
      </c>
      <c r="D61" s="4">
        <v>7.8209999999999997</v>
      </c>
      <c r="E61" s="4">
        <v>7.0410000000000004</v>
      </c>
    </row>
    <row r="62" spans="1:5" x14ac:dyDescent="0.3">
      <c r="A62" s="4">
        <v>5.9999999999999947</v>
      </c>
      <c r="B62" s="4">
        <v>12.5</v>
      </c>
      <c r="C62" s="4">
        <v>20.599999999999998</v>
      </c>
      <c r="D62" s="4">
        <v>8</v>
      </c>
      <c r="E62" s="4">
        <v>7.1999999999999993</v>
      </c>
    </row>
    <row r="63" spans="1:5" x14ac:dyDescent="0.3">
      <c r="A63" s="4">
        <v>6.0999999999999943</v>
      </c>
      <c r="B63" s="4">
        <v>12.760999999999999</v>
      </c>
      <c r="C63" s="4">
        <v>21.196000000000002</v>
      </c>
      <c r="D63" s="4">
        <v>8.1809999999999992</v>
      </c>
      <c r="E63" s="4">
        <v>7.3630000000000004</v>
      </c>
    </row>
    <row r="64" spans="1:5" x14ac:dyDescent="0.3">
      <c r="A64" s="4">
        <v>6.199999999999994</v>
      </c>
      <c r="B64" s="4">
        <v>13.034000000000001</v>
      </c>
      <c r="C64" s="4">
        <v>21.808</v>
      </c>
      <c r="D64" s="4">
        <v>8.3640000000000008</v>
      </c>
      <c r="E64" s="4">
        <v>7.53</v>
      </c>
    </row>
    <row r="65" spans="1:5" x14ac:dyDescent="0.3">
      <c r="A65" s="4">
        <v>6.2999999999999936</v>
      </c>
      <c r="B65" s="4">
        <v>13.317</v>
      </c>
      <c r="C65" s="4">
        <v>22.431999999999999</v>
      </c>
      <c r="D65" s="4">
        <v>8.5489999999999995</v>
      </c>
      <c r="E65" s="4">
        <v>7.7030000000000003</v>
      </c>
    </row>
    <row r="66" spans="1:5" x14ac:dyDescent="0.3">
      <c r="A66" s="4">
        <v>6.3999999999999932</v>
      </c>
      <c r="B66" s="4">
        <v>13.61</v>
      </c>
      <c r="C66" s="4">
        <v>23.064</v>
      </c>
      <c r="D66" s="4">
        <v>8.7359999999999989</v>
      </c>
      <c r="E66" s="4">
        <v>7.88</v>
      </c>
    </row>
    <row r="67" spans="1:5" x14ac:dyDescent="0.3">
      <c r="A67" s="4">
        <v>6.4999999999999929</v>
      </c>
      <c r="B67" s="4">
        <v>13.914999999999999</v>
      </c>
      <c r="C67" s="4">
        <v>23.7</v>
      </c>
      <c r="D67" s="4">
        <v>8.9249999999999989</v>
      </c>
      <c r="E67" s="4">
        <v>8.0629999999999988</v>
      </c>
    </row>
    <row r="68" spans="1:5" x14ac:dyDescent="0.3">
      <c r="A68" s="4">
        <v>6.5999999999999925</v>
      </c>
      <c r="B68" s="4">
        <v>14.23</v>
      </c>
      <c r="C68" s="4">
        <v>24.285</v>
      </c>
      <c r="D68" s="4">
        <v>9.1159999999999997</v>
      </c>
      <c r="E68" s="4">
        <v>8.25</v>
      </c>
    </row>
    <row r="69" spans="1:5" x14ac:dyDescent="0.3">
      <c r="A69" s="4">
        <v>6.6999999999999922</v>
      </c>
      <c r="B69" s="4">
        <v>14.557</v>
      </c>
      <c r="C69" s="4">
        <v>24.878</v>
      </c>
      <c r="D69" s="4">
        <v>9.3090000000000011</v>
      </c>
      <c r="E69" s="4">
        <v>8.4430000000000014</v>
      </c>
    </row>
    <row r="70" spans="1:5" x14ac:dyDescent="0.3">
      <c r="A70" s="4">
        <v>6.7999999999999918</v>
      </c>
      <c r="B70" s="4">
        <v>14.893999999999998</v>
      </c>
      <c r="C70" s="4">
        <v>25.490000000000002</v>
      </c>
      <c r="D70" s="4">
        <v>9.5039999999999996</v>
      </c>
      <c r="E70" s="4">
        <v>8.64</v>
      </c>
    </row>
    <row r="71" spans="1:5" x14ac:dyDescent="0.3">
      <c r="A71" s="4">
        <v>6.8999999999999915</v>
      </c>
      <c r="B71" s="4">
        <v>15.241</v>
      </c>
      <c r="C71" s="4">
        <v>26.126999999999999</v>
      </c>
      <c r="D71" s="4">
        <v>9.7010000000000005</v>
      </c>
      <c r="E71" s="4">
        <v>8.843</v>
      </c>
    </row>
    <row r="72" spans="1:5" x14ac:dyDescent="0.3">
      <c r="A72" s="4">
        <v>6.9999999999999911</v>
      </c>
      <c r="B72" s="4">
        <v>15.6</v>
      </c>
      <c r="C72" s="4">
        <v>26.8</v>
      </c>
      <c r="D72" s="4">
        <v>9.9</v>
      </c>
      <c r="E72" s="4">
        <v>9.0499999999999989</v>
      </c>
    </row>
    <row r="73" spans="1:5" x14ac:dyDescent="0.3">
      <c r="A73" s="4">
        <v>7.0999999999999908</v>
      </c>
      <c r="B73" s="4">
        <v>15.965999999999999</v>
      </c>
      <c r="C73" s="4">
        <v>27.517000000000003</v>
      </c>
      <c r="D73" s="4">
        <v>10.101000000000001</v>
      </c>
      <c r="E73" s="4">
        <v>9.2629999999999999</v>
      </c>
    </row>
    <row r="74" spans="1:5" x14ac:dyDescent="0.3">
      <c r="A74" s="4">
        <v>7.1999999999999904</v>
      </c>
      <c r="B74" s="4">
        <v>16.334</v>
      </c>
      <c r="C74" s="4">
        <v>28.287000000000003</v>
      </c>
      <c r="D74" s="4">
        <v>10.304</v>
      </c>
      <c r="E74" s="4">
        <v>9.48</v>
      </c>
    </row>
    <row r="75" spans="1:5" x14ac:dyDescent="0.3">
      <c r="A75" s="4">
        <v>7.2999999999999901</v>
      </c>
      <c r="B75" s="4">
        <v>16.706</v>
      </c>
      <c r="C75" s="4">
        <v>29.117999999999999</v>
      </c>
      <c r="D75" s="4">
        <v>10.509</v>
      </c>
      <c r="E75" s="4">
        <v>9.7030000000000012</v>
      </c>
    </row>
    <row r="76" spans="1:5" x14ac:dyDescent="0.3">
      <c r="A76" s="4">
        <v>7.3999999999999897</v>
      </c>
      <c r="B76" s="4">
        <v>17.082000000000001</v>
      </c>
      <c r="C76" s="4">
        <v>30.019000000000002</v>
      </c>
      <c r="D76" s="4">
        <v>10.716000000000001</v>
      </c>
      <c r="E76" s="4">
        <v>9.93</v>
      </c>
    </row>
    <row r="77" spans="1:5" x14ac:dyDescent="0.3">
      <c r="A77" s="4">
        <v>7.4999999999999893</v>
      </c>
      <c r="B77" s="4">
        <v>17.46</v>
      </c>
      <c r="C77" s="4">
        <v>31</v>
      </c>
      <c r="D77" s="4">
        <v>10.925000000000001</v>
      </c>
      <c r="E77" s="4">
        <v>10.163</v>
      </c>
    </row>
    <row r="78" spans="1:5" x14ac:dyDescent="0.3">
      <c r="A78" s="4">
        <v>7.599999999999989</v>
      </c>
      <c r="B78" s="4">
        <v>17.841999999999999</v>
      </c>
      <c r="C78" s="4">
        <v>33.141999999999996</v>
      </c>
      <c r="D78" s="4">
        <v>11.135999999999999</v>
      </c>
      <c r="E78" s="4">
        <v>10.4</v>
      </c>
    </row>
    <row r="79" spans="1:5" x14ac:dyDescent="0.3">
      <c r="A79" s="4">
        <v>7.6999999999999886</v>
      </c>
      <c r="B79" s="4">
        <v>18.225999999999999</v>
      </c>
      <c r="C79" s="4">
        <v>35.469000000000001</v>
      </c>
      <c r="D79" s="4">
        <v>11.349</v>
      </c>
      <c r="E79" s="4">
        <v>10.642999999999999</v>
      </c>
    </row>
    <row r="80" spans="1:5" x14ac:dyDescent="0.3">
      <c r="A80" s="4">
        <v>7.7999999999999883</v>
      </c>
      <c r="B80" s="4">
        <v>18.614000000000001</v>
      </c>
      <c r="C80" s="4">
        <v>37.875999999999998</v>
      </c>
      <c r="D80" s="4">
        <v>11.564</v>
      </c>
      <c r="E80" s="4">
        <v>10.89</v>
      </c>
    </row>
    <row r="81" spans="1:5" x14ac:dyDescent="0.3">
      <c r="A81" s="4">
        <v>7.8999999999999879</v>
      </c>
      <c r="B81" s="4">
        <v>19.006</v>
      </c>
      <c r="C81" s="4">
        <v>40.255000000000003</v>
      </c>
      <c r="D81" s="4">
        <v>11.781000000000001</v>
      </c>
      <c r="E81" s="4">
        <v>11.143000000000001</v>
      </c>
    </row>
    <row r="82" spans="1:5" x14ac:dyDescent="0.3">
      <c r="A82" s="4">
        <v>7.9999999999999876</v>
      </c>
      <c r="B82" s="4">
        <v>19.400000000000002</v>
      </c>
      <c r="C82" s="4">
        <v>42.5</v>
      </c>
      <c r="D82" s="4">
        <v>12</v>
      </c>
      <c r="E82" s="4">
        <v>11.4</v>
      </c>
    </row>
    <row r="83" spans="1:5" x14ac:dyDescent="0.3">
      <c r="A83" s="4">
        <v>8.0999999999999872</v>
      </c>
      <c r="B83" s="4">
        <v>19.817</v>
      </c>
      <c r="C83" s="4">
        <v>43.936</v>
      </c>
      <c r="D83" s="4">
        <v>12.225</v>
      </c>
      <c r="E83" s="4">
        <v>11.666</v>
      </c>
    </row>
    <row r="84" spans="1:5" x14ac:dyDescent="0.3">
      <c r="A84" s="4">
        <v>8.1999999999999869</v>
      </c>
      <c r="B84" s="4">
        <v>20.275000000000002</v>
      </c>
      <c r="C84" s="4">
        <v>45.167999999999999</v>
      </c>
      <c r="D84" s="4">
        <v>12.46</v>
      </c>
      <c r="E84" s="4">
        <v>11.943</v>
      </c>
    </row>
    <row r="85" spans="1:5" x14ac:dyDescent="0.3">
      <c r="A85" s="4">
        <v>8.2999999999999865</v>
      </c>
      <c r="B85" s="4">
        <v>20.774999999999999</v>
      </c>
      <c r="C85" s="4">
        <v>46.231999999999999</v>
      </c>
      <c r="D85" s="4">
        <v>12.705</v>
      </c>
      <c r="E85" s="4">
        <v>12.231999999999999</v>
      </c>
    </row>
    <row r="86" spans="1:5" x14ac:dyDescent="0.3">
      <c r="A86" s="4">
        <v>8.3999999999999861</v>
      </c>
      <c r="B86" s="4">
        <v>21.317</v>
      </c>
      <c r="C86" s="4">
        <v>47.164000000000001</v>
      </c>
      <c r="D86" s="4">
        <v>12.959999999999999</v>
      </c>
      <c r="E86" s="4">
        <v>12.531999999999998</v>
      </c>
    </row>
    <row r="87" spans="1:5" x14ac:dyDescent="0.3">
      <c r="A87" s="4">
        <v>8.4999999999999858</v>
      </c>
      <c r="B87" s="4">
        <v>21.9</v>
      </c>
      <c r="C87" s="4">
        <v>48</v>
      </c>
      <c r="D87" s="4">
        <v>13.225000000000001</v>
      </c>
      <c r="E87" s="4">
        <v>12.843999999999999</v>
      </c>
    </row>
    <row r="88" spans="1:5" x14ac:dyDescent="0.3">
      <c r="A88" s="4">
        <v>8.5999999999999854</v>
      </c>
      <c r="B88" s="4">
        <v>22.523</v>
      </c>
      <c r="C88" s="4">
        <v>48.903999999999996</v>
      </c>
      <c r="D88" s="4">
        <v>13.5</v>
      </c>
      <c r="E88" s="4">
        <v>13.167000000000002</v>
      </c>
    </row>
    <row r="89" spans="1:5" x14ac:dyDescent="0.3">
      <c r="A89" s="4">
        <v>8.6999999999999851</v>
      </c>
      <c r="B89" s="4">
        <v>23.184999999999999</v>
      </c>
      <c r="C89" s="4">
        <v>49.752000000000002</v>
      </c>
      <c r="D89" s="4">
        <v>13.785</v>
      </c>
      <c r="E89" s="4">
        <v>13.502000000000001</v>
      </c>
    </row>
    <row r="90" spans="1:5" x14ac:dyDescent="0.3">
      <c r="A90" s="4">
        <v>8.7999999999999847</v>
      </c>
      <c r="B90" s="4">
        <v>23.885000000000002</v>
      </c>
      <c r="C90" s="4">
        <v>50.548000000000002</v>
      </c>
      <c r="D90" s="4">
        <v>14.08</v>
      </c>
      <c r="E90" s="4">
        <v>13.847999999999999</v>
      </c>
    </row>
    <row r="91" spans="1:5" x14ac:dyDescent="0.3">
      <c r="A91" s="4">
        <v>8.8999999999999844</v>
      </c>
      <c r="B91" s="4">
        <v>24.623000000000001</v>
      </c>
      <c r="C91" s="4">
        <v>51.295999999999999</v>
      </c>
      <c r="D91" s="4">
        <v>14.385</v>
      </c>
      <c r="E91" s="4">
        <v>14.206</v>
      </c>
    </row>
    <row r="92" spans="1:5" x14ac:dyDescent="0.3">
      <c r="A92" s="4">
        <v>8.999999999999984</v>
      </c>
      <c r="B92" s="4">
        <v>25.4</v>
      </c>
      <c r="C92" s="4">
        <v>52</v>
      </c>
      <c r="D92" s="4">
        <v>14.7</v>
      </c>
      <c r="E92" s="4">
        <v>14.574999999999999</v>
      </c>
    </row>
    <row r="93" spans="1:5" x14ac:dyDescent="0.3">
      <c r="A93" s="4">
        <v>9.0999999999999837</v>
      </c>
      <c r="B93" s="4">
        <v>26.233000000000001</v>
      </c>
      <c r="C93" s="4">
        <v>52.664000000000001</v>
      </c>
      <c r="D93" s="4">
        <v>15.02</v>
      </c>
      <c r="E93" s="4">
        <v>14.956</v>
      </c>
    </row>
    <row r="94" spans="1:5" x14ac:dyDescent="0.3">
      <c r="A94" s="4">
        <v>9.1999999999999833</v>
      </c>
      <c r="B94" s="4">
        <v>27.139000000000003</v>
      </c>
      <c r="C94" s="4">
        <v>53.291999999999994</v>
      </c>
      <c r="D94" s="4">
        <v>15.340000000000002</v>
      </c>
      <c r="E94" s="4">
        <v>15.348000000000001</v>
      </c>
    </row>
    <row r="95" spans="1:5" x14ac:dyDescent="0.3">
      <c r="A95" s="4">
        <v>9.2999999999999829</v>
      </c>
      <c r="B95" s="4">
        <v>28.119</v>
      </c>
      <c r="C95" s="4">
        <v>53.888000000000005</v>
      </c>
      <c r="D95" s="4">
        <v>15.659999999999998</v>
      </c>
      <c r="E95" s="4">
        <v>15.751999999999999</v>
      </c>
    </row>
    <row r="96" spans="1:5" x14ac:dyDescent="0.3">
      <c r="A96" s="4">
        <v>9.3999999999999826</v>
      </c>
      <c r="B96" s="4">
        <v>29.172999999999998</v>
      </c>
      <c r="C96" s="4">
        <v>54.456000000000003</v>
      </c>
      <c r="D96" s="4">
        <v>15.98</v>
      </c>
      <c r="E96" s="4">
        <v>16.167000000000002</v>
      </c>
    </row>
    <row r="97" spans="1:5" x14ac:dyDescent="0.3">
      <c r="A97" s="4">
        <v>9.4999999999999822</v>
      </c>
      <c r="B97" s="4">
        <v>30.3</v>
      </c>
      <c r="C97" s="4">
        <v>55.000000000000007</v>
      </c>
      <c r="D97" s="4">
        <v>16.3</v>
      </c>
      <c r="E97" s="4">
        <v>16.594000000000001</v>
      </c>
    </row>
    <row r="98" spans="1:5" x14ac:dyDescent="0.3">
      <c r="A98" s="4">
        <v>9.5999999999999819</v>
      </c>
      <c r="B98" s="4">
        <v>31.941999999999997</v>
      </c>
      <c r="C98" s="4">
        <v>55.564</v>
      </c>
      <c r="D98" s="4">
        <v>16.628</v>
      </c>
      <c r="E98" s="4">
        <v>17.032</v>
      </c>
    </row>
    <row r="99" spans="1:5" x14ac:dyDescent="0.3">
      <c r="A99" s="4">
        <v>9.6999999999999815</v>
      </c>
      <c r="B99" s="4">
        <v>34.542000000000002</v>
      </c>
      <c r="C99" s="4">
        <v>56.116</v>
      </c>
      <c r="D99" s="4">
        <v>16.972000000000001</v>
      </c>
      <c r="E99" s="4">
        <v>17.481999999999999</v>
      </c>
    </row>
    <row r="100" spans="1:5" x14ac:dyDescent="0.3">
      <c r="A100" s="4">
        <v>9.7999999999999812</v>
      </c>
      <c r="B100" s="4">
        <v>38.783999999999999</v>
      </c>
      <c r="C100" s="4">
        <v>56.655999999999992</v>
      </c>
      <c r="D100" s="4">
        <v>17.332000000000001</v>
      </c>
      <c r="E100" s="4">
        <v>17.943000000000001</v>
      </c>
    </row>
    <row r="101" spans="1:5" x14ac:dyDescent="0.3">
      <c r="A101" s="4">
        <v>9.8999999999999808</v>
      </c>
      <c r="B101" s="4">
        <v>46.316000000000003</v>
      </c>
      <c r="C101" s="4">
        <v>57.184000000000005</v>
      </c>
      <c r="D101" s="4">
        <v>17.707999999999998</v>
      </c>
      <c r="E101" s="4">
        <v>18.416</v>
      </c>
    </row>
    <row r="102" spans="1:5" x14ac:dyDescent="0.3">
      <c r="A102" s="4">
        <v>9.9999999999999805</v>
      </c>
      <c r="B102" s="4">
        <v>51.5</v>
      </c>
      <c r="C102" s="4">
        <v>57.699999999999996</v>
      </c>
      <c r="D102" s="4">
        <v>18.099999999999998</v>
      </c>
      <c r="E102" s="4">
        <v>18.899999999999999</v>
      </c>
    </row>
    <row r="103" spans="1:5" x14ac:dyDescent="0.3">
      <c r="A103" s="4">
        <v>10.09999999999998</v>
      </c>
      <c r="B103" s="4">
        <v>53.22</v>
      </c>
      <c r="C103" s="4">
        <v>58.198000000000008</v>
      </c>
      <c r="D103" s="4">
        <v>18.512</v>
      </c>
      <c r="E103" s="4">
        <v>19.402000000000001</v>
      </c>
    </row>
    <row r="104" spans="1:5" x14ac:dyDescent="0.3">
      <c r="A104" s="4">
        <v>10.19999999999998</v>
      </c>
      <c r="B104" s="4">
        <v>54.76</v>
      </c>
      <c r="C104" s="4">
        <v>58.684999999999995</v>
      </c>
      <c r="D104" s="4">
        <v>18.948</v>
      </c>
      <c r="E104" s="4">
        <v>19.928000000000001</v>
      </c>
    </row>
    <row r="105" spans="1:5" x14ac:dyDescent="0.3">
      <c r="A105" s="4">
        <v>10.299999999999979</v>
      </c>
      <c r="B105" s="4">
        <v>56.120000000000005</v>
      </c>
      <c r="C105" s="4">
        <v>59.162999999999997</v>
      </c>
      <c r="D105" s="4">
        <v>19.408000000000001</v>
      </c>
      <c r="E105" s="4">
        <v>20.477999999999998</v>
      </c>
    </row>
    <row r="106" spans="1:5" x14ac:dyDescent="0.3">
      <c r="A106" s="4">
        <v>10.399999999999979</v>
      </c>
      <c r="B106" s="4">
        <v>57.3</v>
      </c>
      <c r="C106" s="4">
        <v>59.635000000000005</v>
      </c>
      <c r="D106" s="4">
        <v>19.892000000000003</v>
      </c>
      <c r="E106" s="4">
        <v>21.052</v>
      </c>
    </row>
    <row r="107" spans="1:5" x14ac:dyDescent="0.3">
      <c r="A107" s="4">
        <v>10.499999999999979</v>
      </c>
      <c r="B107" s="4">
        <v>58.3</v>
      </c>
      <c r="C107" s="4">
        <v>60.099999999999994</v>
      </c>
      <c r="D107" s="4">
        <v>20.399999999999999</v>
      </c>
      <c r="E107" s="4">
        <v>21.65</v>
      </c>
    </row>
    <row r="108" spans="1:5" x14ac:dyDescent="0.3">
      <c r="A108" s="4">
        <v>10.599999999999978</v>
      </c>
      <c r="B108" s="4">
        <v>59.187999999999995</v>
      </c>
      <c r="C108" s="4">
        <v>60.575999999999993</v>
      </c>
      <c r="D108" s="4">
        <v>20.94</v>
      </c>
      <c r="E108" s="4">
        <v>22.271999999999998</v>
      </c>
    </row>
    <row r="109" spans="1:5" x14ac:dyDescent="0.3">
      <c r="A109" s="4">
        <v>10.699999999999978</v>
      </c>
      <c r="B109" s="4">
        <v>60.031999999999996</v>
      </c>
      <c r="C109" s="4">
        <v>61.043999999999997</v>
      </c>
      <c r="D109" s="4">
        <v>21.52</v>
      </c>
      <c r="E109" s="4">
        <v>22.917999999999999</v>
      </c>
    </row>
    <row r="110" spans="1:5" x14ac:dyDescent="0.3">
      <c r="A110" s="4">
        <v>10.799999999999978</v>
      </c>
      <c r="B110" s="4">
        <v>60.831999999999994</v>
      </c>
      <c r="C110" s="4">
        <v>61.504000000000005</v>
      </c>
      <c r="D110" s="4">
        <v>22.14</v>
      </c>
      <c r="E110" s="4">
        <v>23.588000000000001</v>
      </c>
    </row>
    <row r="111" spans="1:5" x14ac:dyDescent="0.3">
      <c r="A111" s="4">
        <v>10.899999999999977</v>
      </c>
      <c r="B111" s="4">
        <v>61.588000000000001</v>
      </c>
      <c r="C111" s="4">
        <v>61.956000000000003</v>
      </c>
      <c r="D111" s="4">
        <v>22.8</v>
      </c>
      <c r="E111" s="4">
        <v>24.282</v>
      </c>
    </row>
    <row r="112" spans="1:5" x14ac:dyDescent="0.3">
      <c r="A112" s="4">
        <v>10.999999999999977</v>
      </c>
      <c r="B112" s="4">
        <v>62.3</v>
      </c>
      <c r="C112" s="4">
        <v>62.4</v>
      </c>
      <c r="D112" s="4">
        <v>23.5</v>
      </c>
      <c r="E112" s="4">
        <v>25</v>
      </c>
    </row>
    <row r="113" spans="1:5" x14ac:dyDescent="0.3">
      <c r="A113" s="4">
        <v>11.099999999999977</v>
      </c>
      <c r="B113" s="4">
        <v>62.982000000000006</v>
      </c>
      <c r="C113" s="4">
        <v>62.836000000000006</v>
      </c>
      <c r="D113" s="4">
        <v>24.268000000000001</v>
      </c>
      <c r="E113" s="4">
        <v>25.776</v>
      </c>
    </row>
    <row r="114" spans="1:5" x14ac:dyDescent="0.3">
      <c r="A114" s="4">
        <v>11.199999999999976</v>
      </c>
      <c r="B114" s="4">
        <v>63.648000000000003</v>
      </c>
      <c r="C114" s="4">
        <v>63.263999999999996</v>
      </c>
      <c r="D114" s="4">
        <v>25.131999999999998</v>
      </c>
      <c r="E114" s="4">
        <v>26.644000000000002</v>
      </c>
    </row>
    <row r="115" spans="1:5" x14ac:dyDescent="0.3">
      <c r="A115" s="4">
        <v>11.299999999999976</v>
      </c>
      <c r="B115" s="4">
        <v>64.298000000000002</v>
      </c>
      <c r="C115" s="4">
        <v>63.683999999999997</v>
      </c>
      <c r="D115" s="4">
        <v>26.091999999999999</v>
      </c>
      <c r="E115" s="4">
        <v>27.603999999999999</v>
      </c>
    </row>
    <row r="116" spans="1:5" x14ac:dyDescent="0.3">
      <c r="A116" s="4">
        <v>11.399999999999975</v>
      </c>
      <c r="B116" s="4">
        <v>64.932000000000002</v>
      </c>
      <c r="C116" s="4">
        <v>64.096000000000004</v>
      </c>
      <c r="D116" s="4">
        <v>27.148</v>
      </c>
      <c r="E116" s="4">
        <v>28.655999999999999</v>
      </c>
    </row>
    <row r="117" spans="1:5" x14ac:dyDescent="0.3">
      <c r="A117" s="4">
        <v>11.499999999999975</v>
      </c>
      <c r="B117" s="4">
        <v>65.55</v>
      </c>
      <c r="C117" s="4">
        <v>64.5</v>
      </c>
      <c r="D117" s="4">
        <v>28.299999999999997</v>
      </c>
      <c r="E117" s="4">
        <v>29.799999999999997</v>
      </c>
    </row>
    <row r="118" spans="1:5" x14ac:dyDescent="0.3">
      <c r="A118" s="4">
        <v>11.599999999999975</v>
      </c>
      <c r="B118" s="4">
        <v>66.152000000000001</v>
      </c>
      <c r="C118" s="4">
        <v>64.888999999999996</v>
      </c>
      <c r="D118" s="4">
        <v>30.684000000000001</v>
      </c>
      <c r="E118" s="4">
        <v>31.430000000000003</v>
      </c>
    </row>
    <row r="119" spans="1:5" x14ac:dyDescent="0.3">
      <c r="A119" s="4">
        <v>11.699999999999974</v>
      </c>
      <c r="B119" s="4">
        <v>66.738</v>
      </c>
      <c r="C119" s="4">
        <v>65.271999999999991</v>
      </c>
      <c r="D119" s="4">
        <v>35.436</v>
      </c>
      <c r="E119" s="4">
        <v>33.94</v>
      </c>
    </row>
    <row r="120" spans="1:5" x14ac:dyDescent="0.3">
      <c r="A120" s="4">
        <v>11.799999999999974</v>
      </c>
      <c r="B120" s="4">
        <v>67.308000000000007</v>
      </c>
      <c r="C120" s="4">
        <v>65.65100000000001</v>
      </c>
      <c r="D120" s="4">
        <v>43.079000000000001</v>
      </c>
      <c r="E120" s="4">
        <v>37.330000000000005</v>
      </c>
    </row>
    <row r="121" spans="1:5" x14ac:dyDescent="0.3">
      <c r="A121" s="4">
        <v>11.899999999999974</v>
      </c>
      <c r="B121" s="4">
        <v>67.861999999999995</v>
      </c>
      <c r="C121" s="4">
        <v>66.025999999999996</v>
      </c>
      <c r="D121" s="4">
        <v>56.786000000000001</v>
      </c>
      <c r="E121" s="4">
        <v>41.6</v>
      </c>
    </row>
    <row r="122" spans="1:5" x14ac:dyDescent="0.3">
      <c r="A122" s="4">
        <v>11.999999999999973</v>
      </c>
      <c r="B122" s="4">
        <v>68.400000000000006</v>
      </c>
      <c r="C122" s="4">
        <v>66.400000000000006</v>
      </c>
      <c r="D122" s="4">
        <v>66.3</v>
      </c>
      <c r="E122" s="4">
        <v>50</v>
      </c>
    </row>
    <row r="123" spans="1:5" x14ac:dyDescent="0.3">
      <c r="A123" s="4">
        <v>12.099999999999973</v>
      </c>
      <c r="B123" s="4">
        <v>68.924999999999997</v>
      </c>
      <c r="C123" s="4">
        <v>66.77300000000001</v>
      </c>
      <c r="D123" s="4">
        <v>68.195999999999998</v>
      </c>
      <c r="E123" s="4">
        <v>58.4</v>
      </c>
    </row>
    <row r="124" spans="1:5" x14ac:dyDescent="0.3">
      <c r="A124" s="4">
        <v>12.199999999999973</v>
      </c>
      <c r="B124" s="4">
        <v>69.44</v>
      </c>
      <c r="C124" s="4">
        <v>67.147999999999996</v>
      </c>
      <c r="D124" s="4">
        <v>69.864000000000004</v>
      </c>
      <c r="E124" s="4">
        <v>62.67</v>
      </c>
    </row>
    <row r="125" spans="1:5" x14ac:dyDescent="0.3">
      <c r="A125" s="4">
        <v>12.299999999999972</v>
      </c>
      <c r="B125" s="4">
        <v>69.945000000000007</v>
      </c>
      <c r="C125" s="4">
        <v>67.527000000000001</v>
      </c>
      <c r="D125" s="4">
        <v>71.304000000000002</v>
      </c>
      <c r="E125" s="4">
        <v>66.06</v>
      </c>
    </row>
    <row r="126" spans="1:5" x14ac:dyDescent="0.3">
      <c r="A126" s="4">
        <v>12.399999999999972</v>
      </c>
      <c r="B126" s="4">
        <v>70.44</v>
      </c>
      <c r="C126" s="4">
        <v>67.91</v>
      </c>
      <c r="D126" s="4">
        <v>72.516000000000005</v>
      </c>
      <c r="E126" s="4">
        <v>68.569999999999993</v>
      </c>
    </row>
    <row r="127" spans="1:5" x14ac:dyDescent="0.3">
      <c r="A127" s="4">
        <v>12.499999999999972</v>
      </c>
      <c r="B127" s="4">
        <v>70.925000000000011</v>
      </c>
      <c r="C127" s="4">
        <v>68.300000000000011</v>
      </c>
      <c r="D127" s="4">
        <v>73.5</v>
      </c>
      <c r="E127" s="4">
        <v>70.199999999999989</v>
      </c>
    </row>
    <row r="128" spans="1:5" x14ac:dyDescent="0.3">
      <c r="A128" s="4">
        <v>12.599999999999971</v>
      </c>
      <c r="B128" s="4">
        <v>71.399999999999991</v>
      </c>
      <c r="C128" s="4">
        <v>68.664999999999992</v>
      </c>
      <c r="D128" s="4">
        <v>74.343999999999994</v>
      </c>
      <c r="E128" s="4">
        <v>71.343999999999994</v>
      </c>
    </row>
    <row r="129" spans="1:5" x14ac:dyDescent="0.3">
      <c r="A129" s="4">
        <v>12.699999999999971</v>
      </c>
      <c r="B129" s="4">
        <v>71.864999999999995</v>
      </c>
      <c r="C129" s="4">
        <v>69.027000000000001</v>
      </c>
      <c r="D129" s="4">
        <v>75.135999999999996</v>
      </c>
      <c r="E129" s="4">
        <v>72.396000000000001</v>
      </c>
    </row>
    <row r="130" spans="1:5" x14ac:dyDescent="0.3">
      <c r="A130" s="4">
        <v>12.799999999999971</v>
      </c>
      <c r="B130" s="4">
        <v>72.319999999999993</v>
      </c>
      <c r="C130" s="4">
        <v>69.38600000000001</v>
      </c>
      <c r="D130" s="4">
        <v>75.876000000000005</v>
      </c>
      <c r="E130" s="4">
        <v>73.355999999999995</v>
      </c>
    </row>
    <row r="131" spans="1:5" x14ac:dyDescent="0.3">
      <c r="A131" s="4">
        <v>12.89999999999997</v>
      </c>
      <c r="B131" s="4">
        <v>72.765000000000001</v>
      </c>
      <c r="C131" s="4">
        <v>69.744</v>
      </c>
      <c r="D131" s="4">
        <v>76.563999999999993</v>
      </c>
      <c r="E131" s="4">
        <v>74.224000000000004</v>
      </c>
    </row>
    <row r="132" spans="1:5" x14ac:dyDescent="0.3">
      <c r="A132" s="4">
        <v>12.99999999999997</v>
      </c>
      <c r="B132" s="4">
        <v>73.2</v>
      </c>
      <c r="C132" s="4">
        <v>70.099999999999994</v>
      </c>
      <c r="D132" s="4">
        <v>77.2</v>
      </c>
      <c r="E132" s="4">
        <v>75</v>
      </c>
    </row>
    <row r="133" spans="1:5" x14ac:dyDescent="0.3">
      <c r="A133" s="4">
        <v>13.099999999999969</v>
      </c>
      <c r="B133" s="4">
        <v>73.625</v>
      </c>
      <c r="C133" s="4">
        <v>70.472999999999999</v>
      </c>
      <c r="D133" s="4">
        <v>77.795999999999992</v>
      </c>
      <c r="E133" s="4">
        <v>75.717999999999989</v>
      </c>
    </row>
    <row r="134" spans="1:5" x14ac:dyDescent="0.3">
      <c r="A134" s="4">
        <v>13.199999999999969</v>
      </c>
      <c r="B134" s="4">
        <v>74.039999999999992</v>
      </c>
      <c r="C134" s="4">
        <v>70.837999999999994</v>
      </c>
      <c r="D134" s="4">
        <v>78.364000000000004</v>
      </c>
      <c r="E134" s="4">
        <v>76.412000000000006</v>
      </c>
    </row>
    <row r="135" spans="1:5" x14ac:dyDescent="0.3">
      <c r="A135" s="4">
        <v>13.299999999999969</v>
      </c>
      <c r="B135" s="4">
        <v>74.444999999999993</v>
      </c>
      <c r="C135" s="4">
        <v>71.197999999999993</v>
      </c>
      <c r="D135" s="4">
        <v>78.903999999999996</v>
      </c>
      <c r="E135" s="4">
        <v>77.081999999999994</v>
      </c>
    </row>
    <row r="136" spans="1:5" x14ac:dyDescent="0.3">
      <c r="A136" s="4">
        <v>13.399999999999968</v>
      </c>
      <c r="B136" s="4">
        <v>74.839999999999989</v>
      </c>
      <c r="C136" s="4">
        <v>71.551000000000002</v>
      </c>
      <c r="D136" s="4">
        <v>79.415999999999997</v>
      </c>
      <c r="E136" s="4">
        <v>77.727999999999994</v>
      </c>
    </row>
    <row r="137" spans="1:5" x14ac:dyDescent="0.3">
      <c r="A137" s="4">
        <v>13.499999999999968</v>
      </c>
      <c r="B137" s="4">
        <v>75.224999999999994</v>
      </c>
      <c r="C137" s="4">
        <v>71.899999999999991</v>
      </c>
      <c r="D137" s="4">
        <v>79.900000000000006</v>
      </c>
      <c r="E137" s="4">
        <v>78.349999999999994</v>
      </c>
    </row>
    <row r="138" spans="1:5" x14ac:dyDescent="0.3">
      <c r="A138" s="4">
        <v>13.599999999999968</v>
      </c>
      <c r="B138" s="4">
        <v>75.599999999999994</v>
      </c>
      <c r="C138" s="4">
        <v>72.245000000000005</v>
      </c>
      <c r="D138" s="4">
        <v>80.36</v>
      </c>
      <c r="E138" s="4">
        <v>78.947999999999993</v>
      </c>
    </row>
    <row r="139" spans="1:5" x14ac:dyDescent="0.3">
      <c r="A139" s="4">
        <v>13.699999999999967</v>
      </c>
      <c r="B139" s="4">
        <v>75.965000000000003</v>
      </c>
      <c r="C139" s="4">
        <v>72.585999999999999</v>
      </c>
      <c r="D139" s="4">
        <v>80.800000000000011</v>
      </c>
      <c r="E139" s="4">
        <v>79.522000000000006</v>
      </c>
    </row>
    <row r="140" spans="1:5" x14ac:dyDescent="0.3">
      <c r="A140" s="4">
        <v>13.799999999999967</v>
      </c>
      <c r="B140" s="4">
        <v>76.319999999999993</v>
      </c>
      <c r="C140" s="4">
        <v>72.926000000000002</v>
      </c>
      <c r="D140" s="4">
        <v>81.22</v>
      </c>
      <c r="E140" s="4">
        <v>80.072000000000003</v>
      </c>
    </row>
    <row r="141" spans="1:5" x14ac:dyDescent="0.3">
      <c r="A141" s="4">
        <v>13.899999999999967</v>
      </c>
      <c r="B141" s="4">
        <v>76.665000000000006</v>
      </c>
      <c r="C141" s="4">
        <v>73.263000000000005</v>
      </c>
      <c r="D141" s="4">
        <v>81.62</v>
      </c>
      <c r="E141" s="4">
        <v>80.597999999999999</v>
      </c>
    </row>
    <row r="142" spans="1:5" x14ac:dyDescent="0.3">
      <c r="A142" s="4">
        <v>13.999999999999966</v>
      </c>
      <c r="B142" s="4">
        <v>77</v>
      </c>
      <c r="C142" s="4">
        <v>73.599999999999994</v>
      </c>
      <c r="D142" s="4">
        <v>82</v>
      </c>
      <c r="E142" s="4">
        <v>81.100000000000009</v>
      </c>
    </row>
    <row r="143" spans="1:5" x14ac:dyDescent="0.3">
      <c r="A143" s="4">
        <v>14.099999999999966</v>
      </c>
      <c r="B143" s="4">
        <v>77.329000000000008</v>
      </c>
      <c r="C143" s="4">
        <v>73.938999999999993</v>
      </c>
      <c r="D143" s="4">
        <v>82.367000000000004</v>
      </c>
      <c r="E143" s="4">
        <v>81.584000000000003</v>
      </c>
    </row>
    <row r="144" spans="1:5" x14ac:dyDescent="0.3">
      <c r="A144" s="4">
        <v>14.199999999999966</v>
      </c>
      <c r="B144" s="4">
        <v>77.656000000000006</v>
      </c>
      <c r="C144" s="4">
        <v>74.277000000000001</v>
      </c>
      <c r="D144" s="4">
        <v>82.725999999999999</v>
      </c>
      <c r="E144" s="4">
        <v>82.057000000000002</v>
      </c>
    </row>
    <row r="145" spans="1:5" x14ac:dyDescent="0.3">
      <c r="A145" s="4">
        <v>14.299999999999965</v>
      </c>
      <c r="B145" s="4">
        <v>77.980999999999995</v>
      </c>
      <c r="C145" s="4">
        <v>74.613</v>
      </c>
      <c r="D145" s="4">
        <v>83.079000000000008</v>
      </c>
      <c r="E145" s="4">
        <v>82.518000000000001</v>
      </c>
    </row>
    <row r="146" spans="1:5" x14ac:dyDescent="0.3">
      <c r="A146" s="4">
        <v>14.399999999999965</v>
      </c>
      <c r="B146" s="4">
        <v>78.304000000000002</v>
      </c>
      <c r="C146" s="4">
        <v>74.948000000000008</v>
      </c>
      <c r="D146" s="4">
        <v>83.423999999999992</v>
      </c>
      <c r="E146" s="4">
        <v>82.968000000000004</v>
      </c>
    </row>
    <row r="147" spans="1:5" x14ac:dyDescent="0.3">
      <c r="A147" s="4">
        <v>14.499999999999964</v>
      </c>
      <c r="B147" s="4">
        <v>78.625</v>
      </c>
      <c r="C147" s="4">
        <v>75.280999999999992</v>
      </c>
      <c r="D147" s="4">
        <v>83.763000000000005</v>
      </c>
      <c r="E147" s="4">
        <v>83.406000000000006</v>
      </c>
    </row>
    <row r="148" spans="1:5" x14ac:dyDescent="0.3">
      <c r="A148" s="4">
        <v>14.599999999999964</v>
      </c>
      <c r="B148" s="4">
        <v>78.944000000000003</v>
      </c>
      <c r="C148" s="4">
        <v>75.613</v>
      </c>
      <c r="D148" s="4">
        <v>84.094000000000008</v>
      </c>
      <c r="E148" s="4">
        <v>83.832999999999998</v>
      </c>
    </row>
    <row r="149" spans="1:5" x14ac:dyDescent="0.3">
      <c r="A149" s="4">
        <v>14.699999999999964</v>
      </c>
      <c r="B149" s="4">
        <v>79.26100000000001</v>
      </c>
      <c r="C149" s="4">
        <v>75.943000000000012</v>
      </c>
      <c r="D149" s="4">
        <v>84.418999999999997</v>
      </c>
      <c r="E149" s="4">
        <v>84.248000000000005</v>
      </c>
    </row>
    <row r="150" spans="1:5" x14ac:dyDescent="0.3">
      <c r="A150" s="4">
        <v>14.799999999999963</v>
      </c>
      <c r="B150" s="4">
        <v>79.576000000000008</v>
      </c>
      <c r="C150" s="4">
        <v>76.271000000000001</v>
      </c>
      <c r="D150" s="4">
        <v>84.736000000000004</v>
      </c>
      <c r="E150" s="4">
        <v>84.652000000000001</v>
      </c>
    </row>
    <row r="151" spans="1:5" x14ac:dyDescent="0.3">
      <c r="A151" s="4">
        <v>14.899999999999963</v>
      </c>
      <c r="B151" s="4">
        <v>79.888999999999996</v>
      </c>
      <c r="C151" s="4">
        <v>76.597999999999999</v>
      </c>
      <c r="D151" s="4">
        <v>85.046999999999997</v>
      </c>
      <c r="E151" s="4">
        <v>85.043999999999997</v>
      </c>
    </row>
    <row r="152" spans="1:5" x14ac:dyDescent="0.3">
      <c r="A152" s="4">
        <v>14.999999999999963</v>
      </c>
      <c r="B152" s="4">
        <v>80.2</v>
      </c>
      <c r="C152" s="4">
        <v>76.924000000000007</v>
      </c>
      <c r="D152" s="4">
        <v>85.350000000000009</v>
      </c>
      <c r="E152" s="4">
        <v>85.424999999999997</v>
      </c>
    </row>
    <row r="153" spans="1:5" x14ac:dyDescent="0.3">
      <c r="A153" s="4">
        <v>15.099999999999962</v>
      </c>
      <c r="B153" s="4">
        <v>80.509</v>
      </c>
      <c r="C153" s="4">
        <v>77.248000000000005</v>
      </c>
      <c r="D153" s="4">
        <v>85.646999999999991</v>
      </c>
      <c r="E153" s="4">
        <v>85.793999999999997</v>
      </c>
    </row>
    <row r="154" spans="1:5" x14ac:dyDescent="0.3">
      <c r="A154" s="4">
        <v>15.199999999999962</v>
      </c>
      <c r="B154" s="4">
        <v>80.816000000000003</v>
      </c>
      <c r="C154" s="4">
        <v>77.570999999999998</v>
      </c>
      <c r="D154" s="4">
        <v>85.936000000000007</v>
      </c>
      <c r="E154" s="4">
        <v>86.152000000000001</v>
      </c>
    </row>
    <row r="155" spans="1:5" x14ac:dyDescent="0.3">
      <c r="A155" s="4">
        <v>15.299999999999962</v>
      </c>
      <c r="B155" s="4">
        <v>81.120999999999995</v>
      </c>
      <c r="C155" s="4">
        <v>77.891999999999996</v>
      </c>
      <c r="D155" s="4">
        <v>86.218999999999994</v>
      </c>
      <c r="E155" s="4">
        <v>86.49799999999999</v>
      </c>
    </row>
    <row r="156" spans="1:5" x14ac:dyDescent="0.3">
      <c r="A156" s="4">
        <v>15.399999999999961</v>
      </c>
      <c r="B156" s="4">
        <v>81.423999999999992</v>
      </c>
      <c r="C156" s="4">
        <v>78.210999999999999</v>
      </c>
      <c r="D156" s="4">
        <v>86.494</v>
      </c>
      <c r="E156" s="4">
        <v>86.832999999999998</v>
      </c>
    </row>
    <row r="157" spans="1:5" x14ac:dyDescent="0.3">
      <c r="A157" s="4">
        <v>15.499999999999961</v>
      </c>
      <c r="B157" s="4">
        <v>81.725000000000009</v>
      </c>
      <c r="C157" s="4">
        <v>78.529000000000011</v>
      </c>
      <c r="D157" s="4">
        <v>86.763000000000005</v>
      </c>
      <c r="E157" s="4">
        <v>87.156000000000006</v>
      </c>
    </row>
    <row r="158" spans="1:5" x14ac:dyDescent="0.3">
      <c r="A158" s="4">
        <v>15.599999999999961</v>
      </c>
      <c r="B158" s="4">
        <v>82.024000000000001</v>
      </c>
      <c r="C158" s="4">
        <v>78.844999999999999</v>
      </c>
      <c r="D158" s="4">
        <v>87.024000000000001</v>
      </c>
      <c r="E158" s="4">
        <v>87.468000000000004</v>
      </c>
    </row>
    <row r="159" spans="1:5" x14ac:dyDescent="0.3">
      <c r="A159" s="4">
        <v>15.69999999999996</v>
      </c>
      <c r="B159" s="4">
        <v>82.320999999999998</v>
      </c>
      <c r="C159" s="4">
        <v>79.16</v>
      </c>
      <c r="D159" s="4">
        <v>87.278999999999996</v>
      </c>
      <c r="E159" s="4">
        <v>87.768000000000001</v>
      </c>
    </row>
    <row r="160" spans="1:5" x14ac:dyDescent="0.3">
      <c r="A160" s="4">
        <v>15.79999999999996</v>
      </c>
      <c r="B160" s="4">
        <v>82.616</v>
      </c>
      <c r="C160" s="4">
        <v>79.474000000000004</v>
      </c>
      <c r="D160" s="4">
        <v>87.52600000000001</v>
      </c>
      <c r="E160" s="4">
        <v>88.057000000000002</v>
      </c>
    </row>
    <row r="161" spans="1:5" x14ac:dyDescent="0.3">
      <c r="A161" s="4">
        <v>15.899999999999959</v>
      </c>
      <c r="B161" s="4">
        <v>82.909000000000006</v>
      </c>
      <c r="C161" s="4">
        <v>79.786000000000001</v>
      </c>
      <c r="D161" s="4">
        <v>87.766999999999996</v>
      </c>
      <c r="E161" s="4">
        <v>88.334000000000003</v>
      </c>
    </row>
    <row r="162" spans="1:5" x14ac:dyDescent="0.3">
      <c r="A162" s="4">
        <v>15.999999999999959</v>
      </c>
      <c r="B162" s="4">
        <v>83.2</v>
      </c>
      <c r="C162" s="4">
        <v>80.096000000000004</v>
      </c>
      <c r="D162" s="4">
        <v>88</v>
      </c>
      <c r="E162" s="4">
        <v>88.6</v>
      </c>
    </row>
    <row r="163" spans="1:5" x14ac:dyDescent="0.3">
      <c r="A163" s="4">
        <v>16.099999999999959</v>
      </c>
      <c r="B163" s="4">
        <v>83.489000000000004</v>
      </c>
      <c r="C163" s="4">
        <v>80.405000000000001</v>
      </c>
      <c r="D163" s="4">
        <v>88.228999999999999</v>
      </c>
      <c r="E163" s="4">
        <v>88.858000000000004</v>
      </c>
    </row>
    <row r="164" spans="1:5" x14ac:dyDescent="0.3">
      <c r="A164" s="4">
        <v>16.19999999999996</v>
      </c>
      <c r="B164" s="4">
        <v>83.775999999999996</v>
      </c>
      <c r="C164" s="4">
        <v>80.711999999999989</v>
      </c>
      <c r="D164" s="4">
        <v>88.454999999999998</v>
      </c>
      <c r="E164" s="4">
        <v>89.11</v>
      </c>
    </row>
    <row r="165" spans="1:5" x14ac:dyDescent="0.3">
      <c r="A165" s="4">
        <v>16.299999999999962</v>
      </c>
      <c r="B165" s="4">
        <v>84.060999999999993</v>
      </c>
      <c r="C165" s="4">
        <v>81.018000000000001</v>
      </c>
      <c r="D165" s="4">
        <v>88.679000000000002</v>
      </c>
      <c r="E165" s="4">
        <v>89.358000000000004</v>
      </c>
    </row>
    <row r="166" spans="1:5" x14ac:dyDescent="0.3">
      <c r="A166" s="4">
        <v>16.399999999999963</v>
      </c>
      <c r="B166" s="4">
        <v>84.343999999999994</v>
      </c>
      <c r="C166" s="4">
        <v>81.322000000000003</v>
      </c>
      <c r="D166" s="4">
        <v>88.9</v>
      </c>
      <c r="E166" s="4">
        <v>89.600000000000009</v>
      </c>
    </row>
    <row r="167" spans="1:5" x14ac:dyDescent="0.3">
      <c r="A167" s="4">
        <v>16.499999999999964</v>
      </c>
      <c r="B167" s="4">
        <v>84.625</v>
      </c>
      <c r="C167" s="4">
        <v>81.625</v>
      </c>
      <c r="D167" s="4">
        <v>89.119</v>
      </c>
      <c r="E167" s="4">
        <v>89.837999999999994</v>
      </c>
    </row>
    <row r="168" spans="1:5" x14ac:dyDescent="0.3">
      <c r="A168" s="4">
        <v>16.599999999999966</v>
      </c>
      <c r="B168" s="4">
        <v>84.903999999999996</v>
      </c>
      <c r="C168" s="4">
        <v>81.926000000000002</v>
      </c>
      <c r="D168" s="4">
        <v>89.334999999999994</v>
      </c>
      <c r="E168" s="4">
        <v>90.07</v>
      </c>
    </row>
    <row r="169" spans="1:5" x14ac:dyDescent="0.3">
      <c r="A169" s="4">
        <v>16.699999999999967</v>
      </c>
      <c r="B169" s="4">
        <v>85.180999999999997</v>
      </c>
      <c r="C169" s="4">
        <v>82.225999999999999</v>
      </c>
      <c r="D169" s="4">
        <v>89.549000000000007</v>
      </c>
      <c r="E169" s="4">
        <v>90.298000000000002</v>
      </c>
    </row>
    <row r="170" spans="1:5" x14ac:dyDescent="0.3">
      <c r="A170" s="4">
        <v>16.799999999999969</v>
      </c>
      <c r="B170" s="4">
        <v>85.456000000000003</v>
      </c>
      <c r="C170" s="4">
        <v>82.524000000000001</v>
      </c>
      <c r="D170" s="4">
        <v>89.759999999999991</v>
      </c>
      <c r="E170" s="4">
        <v>90.52</v>
      </c>
    </row>
    <row r="171" spans="1:5" x14ac:dyDescent="0.3">
      <c r="A171" s="4">
        <v>16.89999999999997</v>
      </c>
      <c r="B171" s="4">
        <v>85.728999999999999</v>
      </c>
      <c r="C171" s="4">
        <v>82.820999999999998</v>
      </c>
      <c r="D171" s="4">
        <v>89.968999999999994</v>
      </c>
      <c r="E171" s="4">
        <v>90.738</v>
      </c>
    </row>
    <row r="172" spans="1:5" x14ac:dyDescent="0.3">
      <c r="A172" s="4">
        <v>16.999999999999972</v>
      </c>
      <c r="B172" s="4">
        <v>86</v>
      </c>
      <c r="C172" s="4">
        <v>83.116</v>
      </c>
      <c r="D172" s="4">
        <v>90.175000000000011</v>
      </c>
      <c r="E172" s="4">
        <v>90.95</v>
      </c>
    </row>
    <row r="173" spans="1:5" x14ac:dyDescent="0.3">
      <c r="A173" s="4">
        <v>17.099999999999973</v>
      </c>
      <c r="B173" s="4">
        <v>86.268999999999991</v>
      </c>
      <c r="C173" s="4">
        <v>83.41</v>
      </c>
      <c r="D173" s="4">
        <v>90.379000000000005</v>
      </c>
      <c r="E173" s="4">
        <v>91.158000000000001</v>
      </c>
    </row>
    <row r="174" spans="1:5" x14ac:dyDescent="0.3">
      <c r="A174" s="4">
        <v>17.199999999999974</v>
      </c>
      <c r="B174" s="4">
        <v>86.536000000000001</v>
      </c>
      <c r="C174" s="4">
        <v>83.701999999999998</v>
      </c>
      <c r="D174" s="4">
        <v>90.58</v>
      </c>
      <c r="E174" s="4">
        <v>91.36</v>
      </c>
    </row>
    <row r="175" spans="1:5" x14ac:dyDescent="0.3">
      <c r="A175" s="4">
        <v>17.299999999999976</v>
      </c>
      <c r="B175" s="4">
        <v>86.800999999999988</v>
      </c>
      <c r="C175" s="4">
        <v>83.992000000000004</v>
      </c>
      <c r="D175" s="4">
        <v>90.778999999999996</v>
      </c>
      <c r="E175" s="4">
        <v>91.557999999999993</v>
      </c>
    </row>
    <row r="176" spans="1:5" x14ac:dyDescent="0.3">
      <c r="A176" s="4">
        <v>17.399999999999977</v>
      </c>
      <c r="B176" s="4">
        <v>87.063999999999993</v>
      </c>
      <c r="C176" s="4">
        <v>84.280999999999992</v>
      </c>
      <c r="D176" s="4">
        <v>90.974999999999994</v>
      </c>
      <c r="E176" s="4">
        <v>91.75</v>
      </c>
    </row>
    <row r="177" spans="1:5" x14ac:dyDescent="0.3">
      <c r="A177" s="4">
        <v>17.499999999999979</v>
      </c>
      <c r="B177" s="4">
        <v>87.325000000000003</v>
      </c>
      <c r="C177" s="4">
        <v>84.569000000000003</v>
      </c>
      <c r="D177" s="4">
        <v>91.168999999999997</v>
      </c>
      <c r="E177" s="4">
        <v>91.938000000000002</v>
      </c>
    </row>
    <row r="178" spans="1:5" x14ac:dyDescent="0.3">
      <c r="A178" s="4">
        <v>17.59999999999998</v>
      </c>
      <c r="B178" s="4">
        <v>87.583999999999989</v>
      </c>
      <c r="C178" s="4">
        <v>84.855000000000004</v>
      </c>
      <c r="D178" s="4">
        <v>91.36</v>
      </c>
      <c r="E178" s="4">
        <v>92.12</v>
      </c>
    </row>
    <row r="179" spans="1:5" x14ac:dyDescent="0.3">
      <c r="A179" s="4">
        <v>17.699999999999982</v>
      </c>
      <c r="B179" s="4">
        <v>87.841000000000008</v>
      </c>
      <c r="C179" s="4">
        <v>85.14</v>
      </c>
      <c r="D179" s="4">
        <v>91.549000000000007</v>
      </c>
      <c r="E179" s="4">
        <v>92.298000000000002</v>
      </c>
    </row>
    <row r="180" spans="1:5" x14ac:dyDescent="0.3">
      <c r="A180" s="4">
        <v>17.799999999999983</v>
      </c>
      <c r="B180" s="4">
        <v>88.096000000000004</v>
      </c>
      <c r="C180" s="4">
        <v>85.423000000000002</v>
      </c>
      <c r="D180" s="4">
        <v>91.734999999999999</v>
      </c>
      <c r="E180" s="4">
        <v>92.47</v>
      </c>
    </row>
    <row r="181" spans="1:5" x14ac:dyDescent="0.3">
      <c r="A181" s="4">
        <v>17.899999999999984</v>
      </c>
      <c r="B181" s="4">
        <v>88.349000000000004</v>
      </c>
      <c r="C181" s="4">
        <v>85.704000000000008</v>
      </c>
      <c r="D181" s="4">
        <v>91.918999999999997</v>
      </c>
      <c r="E181" s="4">
        <v>92.638000000000005</v>
      </c>
    </row>
    <row r="182" spans="1:5" x14ac:dyDescent="0.3">
      <c r="A182" s="4">
        <v>17.999999999999986</v>
      </c>
      <c r="B182" s="4">
        <v>88.6</v>
      </c>
      <c r="C182" s="4">
        <v>85.984000000000009</v>
      </c>
      <c r="D182" s="4">
        <v>92.100000000000009</v>
      </c>
      <c r="E182" s="4">
        <v>92.800000000000011</v>
      </c>
    </row>
    <row r="183" spans="1:5" x14ac:dyDescent="0.3">
      <c r="A183" s="4">
        <v>18.099999999999987</v>
      </c>
      <c r="B183" s="4">
        <v>88.849000000000004</v>
      </c>
      <c r="C183" s="4">
        <v>86.262</v>
      </c>
      <c r="D183" s="4">
        <v>92.278999999999996</v>
      </c>
      <c r="E183" s="4">
        <v>92.959000000000003</v>
      </c>
    </row>
    <row r="184" spans="1:5" x14ac:dyDescent="0.3">
      <c r="A184" s="4">
        <v>18.199999999999989</v>
      </c>
      <c r="B184" s="4">
        <v>89.096000000000004</v>
      </c>
      <c r="C184" s="4">
        <v>86.539000000000001</v>
      </c>
      <c r="D184" s="4">
        <v>92.454999999999998</v>
      </c>
      <c r="E184" s="4">
        <v>93.117000000000004</v>
      </c>
    </row>
    <row r="185" spans="1:5" x14ac:dyDescent="0.3">
      <c r="A185" s="4">
        <v>18.29999999999999</v>
      </c>
      <c r="B185" s="4">
        <v>89.341000000000008</v>
      </c>
      <c r="C185" s="4">
        <v>86.814999999999998</v>
      </c>
      <c r="D185" s="4">
        <v>92.628999999999991</v>
      </c>
      <c r="E185" s="4">
        <v>93.272999999999996</v>
      </c>
    </row>
    <row r="186" spans="1:5" x14ac:dyDescent="0.3">
      <c r="A186" s="4">
        <v>18.399999999999991</v>
      </c>
      <c r="B186" s="4">
        <v>89.584000000000003</v>
      </c>
      <c r="C186" s="4">
        <v>87.088999999999999</v>
      </c>
      <c r="D186" s="4">
        <v>92.800000000000011</v>
      </c>
      <c r="E186" s="4">
        <v>93.427999999999997</v>
      </c>
    </row>
    <row r="187" spans="1:5" x14ac:dyDescent="0.3">
      <c r="A187" s="4">
        <v>18.499999999999993</v>
      </c>
      <c r="B187" s="4">
        <v>89.825000000000003</v>
      </c>
      <c r="C187" s="4">
        <v>87.361000000000004</v>
      </c>
      <c r="D187" s="4">
        <v>92.969000000000008</v>
      </c>
      <c r="E187" s="4">
        <v>93.581000000000003</v>
      </c>
    </row>
    <row r="188" spans="1:5" x14ac:dyDescent="0.3">
      <c r="A188" s="4">
        <v>18.599999999999994</v>
      </c>
      <c r="B188" s="4">
        <v>90.063999999999993</v>
      </c>
      <c r="C188" s="4">
        <v>87.632000000000005</v>
      </c>
      <c r="D188" s="4">
        <v>93.135000000000005</v>
      </c>
      <c r="E188" s="4">
        <v>93.733000000000004</v>
      </c>
    </row>
    <row r="189" spans="1:5" x14ac:dyDescent="0.3">
      <c r="A189" s="4">
        <v>18.699999999999996</v>
      </c>
      <c r="B189" s="4">
        <v>90.301000000000002</v>
      </c>
      <c r="C189" s="4">
        <v>87.900999999999996</v>
      </c>
      <c r="D189" s="4">
        <v>93.298999999999992</v>
      </c>
      <c r="E189" s="4">
        <v>93.88300000000001</v>
      </c>
    </row>
    <row r="190" spans="1:5" x14ac:dyDescent="0.3">
      <c r="A190" s="4">
        <v>18.799999999999997</v>
      </c>
      <c r="B190" s="4">
        <v>90.536000000000001</v>
      </c>
      <c r="C190" s="4">
        <v>88.168999999999997</v>
      </c>
      <c r="D190" s="4">
        <v>93.46</v>
      </c>
      <c r="E190" s="4">
        <v>94.032000000000011</v>
      </c>
    </row>
    <row r="191" spans="1:5" x14ac:dyDescent="0.3">
      <c r="A191" s="4">
        <v>18.899999999999999</v>
      </c>
      <c r="B191" s="4">
        <v>90.769000000000005</v>
      </c>
      <c r="C191" s="4">
        <v>88.435000000000002</v>
      </c>
      <c r="D191" s="4">
        <v>93.619</v>
      </c>
      <c r="E191" s="4">
        <v>94.179000000000002</v>
      </c>
    </row>
    <row r="192" spans="1:5" x14ac:dyDescent="0.3">
      <c r="A192" s="4">
        <v>19</v>
      </c>
      <c r="B192" s="4">
        <v>91</v>
      </c>
      <c r="C192" s="4">
        <v>88.7</v>
      </c>
      <c r="D192" s="4">
        <v>93.774999999999991</v>
      </c>
      <c r="E192" s="4">
        <v>94.325000000000003</v>
      </c>
    </row>
    <row r="193" spans="1:5" x14ac:dyDescent="0.3">
      <c r="A193" s="4">
        <v>19.100000000000001</v>
      </c>
      <c r="B193" s="4">
        <v>91.228999999999999</v>
      </c>
      <c r="C193" s="4">
        <v>88.963000000000008</v>
      </c>
      <c r="D193" s="4">
        <v>93.929000000000002</v>
      </c>
      <c r="E193" s="4">
        <v>94.469000000000008</v>
      </c>
    </row>
    <row r="194" spans="1:5" x14ac:dyDescent="0.3">
      <c r="A194" s="4">
        <v>19.200000000000003</v>
      </c>
      <c r="B194" s="4">
        <v>91.456000000000003</v>
      </c>
      <c r="C194" s="4">
        <v>89.224999999999994</v>
      </c>
      <c r="D194" s="4">
        <v>94.08</v>
      </c>
      <c r="E194" s="4">
        <v>94.611999999999995</v>
      </c>
    </row>
    <row r="195" spans="1:5" x14ac:dyDescent="0.3">
      <c r="A195" s="4">
        <v>19.300000000000004</v>
      </c>
      <c r="B195" s="4">
        <v>91.680999999999997</v>
      </c>
      <c r="C195" s="4">
        <v>89.484999999999999</v>
      </c>
      <c r="D195" s="4">
        <v>94.228999999999999</v>
      </c>
      <c r="E195" s="4">
        <v>94.753</v>
      </c>
    </row>
    <row r="196" spans="1:5" x14ac:dyDescent="0.3">
      <c r="A196" s="4">
        <v>19.400000000000006</v>
      </c>
      <c r="B196" s="4">
        <v>91.903999999999996</v>
      </c>
      <c r="C196" s="4">
        <v>89.744</v>
      </c>
      <c r="D196" s="4">
        <v>94.375</v>
      </c>
      <c r="E196" s="4">
        <v>94.893000000000001</v>
      </c>
    </row>
    <row r="197" spans="1:5" x14ac:dyDescent="0.3">
      <c r="A197" s="4">
        <v>19.500000000000007</v>
      </c>
      <c r="B197" s="4">
        <v>92.125</v>
      </c>
      <c r="C197" s="4">
        <v>90.001000000000005</v>
      </c>
      <c r="D197" s="4">
        <v>94.518999999999991</v>
      </c>
      <c r="E197" s="4">
        <v>95.031000000000006</v>
      </c>
    </row>
    <row r="198" spans="1:5" x14ac:dyDescent="0.3">
      <c r="A198" s="4">
        <v>19.600000000000009</v>
      </c>
      <c r="B198" s="4">
        <v>92.344000000000008</v>
      </c>
      <c r="C198" s="4">
        <v>90.257000000000005</v>
      </c>
      <c r="D198" s="4">
        <v>94.66</v>
      </c>
      <c r="E198" s="4">
        <v>95.167999999999992</v>
      </c>
    </row>
    <row r="199" spans="1:5" x14ac:dyDescent="0.3">
      <c r="A199" s="4">
        <v>19.70000000000001</v>
      </c>
      <c r="B199" s="4">
        <v>92.561000000000007</v>
      </c>
      <c r="C199" s="4">
        <v>90.510999999999996</v>
      </c>
      <c r="D199" s="4">
        <v>94.799000000000007</v>
      </c>
      <c r="E199" s="4">
        <v>95.302999999999997</v>
      </c>
    </row>
    <row r="200" spans="1:5" x14ac:dyDescent="0.3">
      <c r="A200" s="4">
        <v>19.800000000000011</v>
      </c>
      <c r="B200" s="4">
        <v>92.775999999999996</v>
      </c>
      <c r="C200" s="4">
        <v>90.763000000000005</v>
      </c>
      <c r="D200" s="4">
        <v>94.935000000000002</v>
      </c>
      <c r="E200" s="4">
        <v>95.437000000000012</v>
      </c>
    </row>
    <row r="201" spans="1:5" x14ac:dyDescent="0.3">
      <c r="A201" s="4">
        <v>19.900000000000013</v>
      </c>
      <c r="B201" s="4">
        <v>92.989000000000004</v>
      </c>
      <c r="C201" s="4">
        <v>91.013999999999996</v>
      </c>
      <c r="D201" s="4">
        <v>95.069000000000003</v>
      </c>
      <c r="E201" s="4">
        <v>95.569000000000003</v>
      </c>
    </row>
    <row r="202" spans="1:5" x14ac:dyDescent="0.3">
      <c r="A202" s="4">
        <v>20.000000000000014</v>
      </c>
      <c r="B202" s="4">
        <v>93.2</v>
      </c>
      <c r="C202" s="4">
        <v>91.263999999999996</v>
      </c>
      <c r="D202" s="4">
        <v>95.199999999999989</v>
      </c>
      <c r="E202" s="4">
        <v>95.7</v>
      </c>
    </row>
    <row r="203" spans="1:5" x14ac:dyDescent="0.3">
      <c r="A203" s="4">
        <v>20.100000000000016</v>
      </c>
      <c r="B203" s="4">
        <v>93.408999999999992</v>
      </c>
      <c r="C203" s="4">
        <v>91.512</v>
      </c>
      <c r="D203" s="4">
        <v>95.33</v>
      </c>
      <c r="E203" s="4">
        <v>95.828999999999994</v>
      </c>
    </row>
    <row r="204" spans="1:5" x14ac:dyDescent="0.3">
      <c r="A204" s="4">
        <v>20.200000000000017</v>
      </c>
      <c r="B204" s="4">
        <v>93.616</v>
      </c>
      <c r="C204" s="4">
        <v>91.759</v>
      </c>
      <c r="D204" s="4">
        <v>95.459000000000003</v>
      </c>
      <c r="E204" s="4">
        <v>95.957999999999998</v>
      </c>
    </row>
    <row r="205" spans="1:5" x14ac:dyDescent="0.3">
      <c r="A205" s="4">
        <v>20.300000000000018</v>
      </c>
      <c r="B205" s="4">
        <v>93.820999999999998</v>
      </c>
      <c r="C205" s="4">
        <v>92.003999999999991</v>
      </c>
      <c r="D205" s="4">
        <v>95.587999999999994</v>
      </c>
      <c r="E205" s="4">
        <v>96.084999999999994</v>
      </c>
    </row>
    <row r="206" spans="1:5" x14ac:dyDescent="0.3">
      <c r="A206" s="4">
        <v>20.40000000000002</v>
      </c>
      <c r="B206" s="4">
        <v>94.024000000000001</v>
      </c>
      <c r="C206" s="4">
        <v>92.247</v>
      </c>
      <c r="D206" s="4">
        <v>95.716000000000008</v>
      </c>
      <c r="E206" s="4">
        <v>96.210999999999999</v>
      </c>
    </row>
    <row r="207" spans="1:5" x14ac:dyDescent="0.3">
      <c r="A207" s="4">
        <v>20.500000000000021</v>
      </c>
      <c r="B207" s="4">
        <v>94.225000000000009</v>
      </c>
      <c r="C207" s="4">
        <v>92.489000000000004</v>
      </c>
      <c r="D207" s="4">
        <v>95.843999999999994</v>
      </c>
      <c r="E207" s="4">
        <v>96.335999999999999</v>
      </c>
    </row>
    <row r="208" spans="1:5" x14ac:dyDescent="0.3">
      <c r="A208" s="4">
        <v>20.600000000000023</v>
      </c>
      <c r="B208" s="4">
        <v>94.423999999999992</v>
      </c>
      <c r="C208" s="4">
        <v>92.728999999999999</v>
      </c>
      <c r="D208" s="4">
        <v>95.970999999999989</v>
      </c>
      <c r="E208" s="4">
        <v>96.460000000000008</v>
      </c>
    </row>
    <row r="209" spans="1:5" x14ac:dyDescent="0.3">
      <c r="A209" s="4">
        <v>20.700000000000024</v>
      </c>
      <c r="B209" s="4">
        <v>94.620999999999995</v>
      </c>
      <c r="C209" s="4">
        <v>92.967999999999989</v>
      </c>
      <c r="D209" s="4">
        <v>96.097999999999999</v>
      </c>
      <c r="E209" s="4">
        <v>96.582000000000008</v>
      </c>
    </row>
    <row r="210" spans="1:5" x14ac:dyDescent="0.3">
      <c r="A210" s="4">
        <v>20.800000000000026</v>
      </c>
      <c r="B210" s="4">
        <v>94.816000000000003</v>
      </c>
      <c r="C210" s="4">
        <v>93.206000000000003</v>
      </c>
      <c r="D210" s="4">
        <v>96.224000000000004</v>
      </c>
      <c r="E210" s="4">
        <v>96.704000000000008</v>
      </c>
    </row>
    <row r="211" spans="1:5" x14ac:dyDescent="0.3">
      <c r="A211" s="4">
        <v>20.900000000000027</v>
      </c>
      <c r="B211" s="4">
        <v>95.009</v>
      </c>
      <c r="C211" s="4">
        <v>93.442000000000007</v>
      </c>
      <c r="D211" s="4">
        <v>96.350000000000009</v>
      </c>
      <c r="E211" s="4">
        <v>96.823999999999998</v>
      </c>
    </row>
    <row r="212" spans="1:5" x14ac:dyDescent="0.3">
      <c r="A212" s="4">
        <v>21.000000000000028</v>
      </c>
      <c r="B212" s="4">
        <v>95.199999999999989</v>
      </c>
      <c r="C212" s="4">
        <v>93.676000000000002</v>
      </c>
      <c r="D212" s="4">
        <v>96.474999999999994</v>
      </c>
      <c r="E212" s="4">
        <v>96.944000000000003</v>
      </c>
    </row>
    <row r="213" spans="1:5" x14ac:dyDescent="0.3">
      <c r="A213" s="4">
        <v>21.10000000000003</v>
      </c>
      <c r="B213" s="4">
        <v>95.388999999999996</v>
      </c>
      <c r="C213" s="4">
        <v>93.908999999999992</v>
      </c>
      <c r="D213" s="4">
        <v>96.6</v>
      </c>
      <c r="E213" s="4">
        <v>97.061999999999998</v>
      </c>
    </row>
    <row r="214" spans="1:5" x14ac:dyDescent="0.3">
      <c r="A214" s="4">
        <v>21.200000000000031</v>
      </c>
      <c r="B214" s="4">
        <v>95.576000000000008</v>
      </c>
      <c r="C214" s="4">
        <v>94.14</v>
      </c>
      <c r="D214" s="4">
        <v>96.724000000000004</v>
      </c>
      <c r="E214" s="4">
        <v>97.179000000000002</v>
      </c>
    </row>
    <row r="215" spans="1:5" x14ac:dyDescent="0.3">
      <c r="A215" s="4">
        <v>21.300000000000033</v>
      </c>
      <c r="B215" s="4">
        <v>95.760999999999996</v>
      </c>
      <c r="C215" s="4">
        <v>94.37</v>
      </c>
      <c r="D215" s="4">
        <v>96.847999999999999</v>
      </c>
      <c r="E215" s="4">
        <v>97.295000000000002</v>
      </c>
    </row>
    <row r="216" spans="1:5" x14ac:dyDescent="0.3">
      <c r="A216" s="4">
        <v>21.400000000000034</v>
      </c>
      <c r="B216" s="4">
        <v>95.944000000000003</v>
      </c>
      <c r="C216" s="4">
        <v>94.597999999999999</v>
      </c>
      <c r="D216" s="4">
        <v>96.970999999999989</v>
      </c>
      <c r="E216" s="4">
        <v>97.41</v>
      </c>
    </row>
    <row r="217" spans="1:5" x14ac:dyDescent="0.3">
      <c r="A217" s="4">
        <v>21.500000000000036</v>
      </c>
      <c r="B217" s="4">
        <v>96.125</v>
      </c>
      <c r="C217" s="4">
        <v>94.825000000000003</v>
      </c>
      <c r="D217" s="4">
        <v>97.094000000000008</v>
      </c>
      <c r="E217" s="4">
        <v>97.52300000000001</v>
      </c>
    </row>
    <row r="218" spans="1:5" x14ac:dyDescent="0.3">
      <c r="A218" s="4">
        <v>21.600000000000037</v>
      </c>
      <c r="B218" s="4">
        <v>96.304000000000002</v>
      </c>
      <c r="C218" s="4">
        <v>95.05</v>
      </c>
      <c r="D218" s="4">
        <v>97.216000000000008</v>
      </c>
      <c r="E218" s="4">
        <v>97.635999999999996</v>
      </c>
    </row>
    <row r="219" spans="1:5" x14ac:dyDescent="0.3">
      <c r="A219" s="4">
        <v>21.700000000000038</v>
      </c>
      <c r="B219" s="4">
        <v>96.480999999999995</v>
      </c>
      <c r="C219" s="4">
        <v>95.274000000000001</v>
      </c>
      <c r="D219" s="4">
        <v>97.338000000000008</v>
      </c>
      <c r="E219" s="4">
        <v>97.747</v>
      </c>
    </row>
    <row r="220" spans="1:5" x14ac:dyDescent="0.3">
      <c r="A220" s="4">
        <v>21.80000000000004</v>
      </c>
      <c r="B220" s="4">
        <v>96.655999999999992</v>
      </c>
      <c r="C220" s="4">
        <v>95.496000000000009</v>
      </c>
      <c r="D220" s="4">
        <v>97.458999999999989</v>
      </c>
      <c r="E220" s="4">
        <v>97.858000000000004</v>
      </c>
    </row>
    <row r="221" spans="1:5" x14ac:dyDescent="0.3">
      <c r="A221" s="4">
        <v>21.900000000000041</v>
      </c>
      <c r="B221" s="4">
        <v>96.828999999999994</v>
      </c>
      <c r="C221" s="4">
        <v>95.716999999999999</v>
      </c>
      <c r="D221" s="4">
        <v>97.58</v>
      </c>
      <c r="E221" s="4">
        <v>97.966999999999999</v>
      </c>
    </row>
    <row r="222" spans="1:5" x14ac:dyDescent="0.3">
      <c r="A222" s="4">
        <v>22.000000000000043</v>
      </c>
      <c r="B222" s="4">
        <v>97</v>
      </c>
      <c r="C222" s="4">
        <v>95.935999999999993</v>
      </c>
      <c r="D222" s="4">
        <v>97.7</v>
      </c>
      <c r="E222" s="4">
        <v>98.075000000000003</v>
      </c>
    </row>
    <row r="223" spans="1:5" x14ac:dyDescent="0.3">
      <c r="A223" s="4">
        <v>22.100000000000044</v>
      </c>
      <c r="B223" s="4">
        <v>97.169000000000011</v>
      </c>
      <c r="C223" s="4">
        <v>96.153999999999996</v>
      </c>
      <c r="D223" s="4">
        <v>97.82</v>
      </c>
      <c r="E223" s="4">
        <v>98.182000000000002</v>
      </c>
    </row>
    <row r="224" spans="1:5" x14ac:dyDescent="0.3">
      <c r="A224" s="4">
        <v>22.200000000000045</v>
      </c>
      <c r="B224" s="4">
        <v>97.335999999999999</v>
      </c>
      <c r="C224" s="4">
        <v>96.37</v>
      </c>
      <c r="D224" s="4">
        <v>97.938999999999993</v>
      </c>
      <c r="E224" s="4">
        <v>98.287999999999997</v>
      </c>
    </row>
    <row r="225" spans="1:5" x14ac:dyDescent="0.3">
      <c r="A225" s="4">
        <v>22.300000000000047</v>
      </c>
      <c r="B225" s="4">
        <v>97.501000000000005</v>
      </c>
      <c r="C225" s="4">
        <v>96.584000000000003</v>
      </c>
      <c r="D225" s="4">
        <v>98.058000000000007</v>
      </c>
      <c r="E225" s="4">
        <v>98.391999999999996</v>
      </c>
    </row>
    <row r="226" spans="1:5" x14ac:dyDescent="0.3">
      <c r="A226" s="4">
        <v>22.400000000000048</v>
      </c>
      <c r="B226" s="4">
        <v>97.664000000000001</v>
      </c>
      <c r="C226" s="4">
        <v>96.796999999999997</v>
      </c>
      <c r="D226" s="4">
        <v>98.176000000000002</v>
      </c>
      <c r="E226" s="4">
        <v>98.495999999999995</v>
      </c>
    </row>
    <row r="227" spans="1:5" x14ac:dyDescent="0.3">
      <c r="A227" s="4">
        <v>22.50000000000005</v>
      </c>
      <c r="B227" s="4">
        <v>97.824999999999989</v>
      </c>
      <c r="C227" s="4">
        <v>97.009</v>
      </c>
      <c r="D227" s="4">
        <v>98.293999999999997</v>
      </c>
      <c r="E227" s="4">
        <v>98.597999999999999</v>
      </c>
    </row>
    <row r="228" spans="1:5" x14ac:dyDescent="0.3">
      <c r="A228" s="4">
        <v>22.600000000000051</v>
      </c>
      <c r="B228" s="4">
        <v>97.984000000000009</v>
      </c>
      <c r="C228" s="4">
        <v>97.218999999999994</v>
      </c>
      <c r="D228" s="4">
        <v>98.411000000000001</v>
      </c>
      <c r="E228" s="4">
        <v>98.7</v>
      </c>
    </row>
    <row r="229" spans="1:5" x14ac:dyDescent="0.3">
      <c r="A229" s="4">
        <v>22.700000000000053</v>
      </c>
      <c r="B229" s="4">
        <v>98.141000000000005</v>
      </c>
      <c r="C229" s="4">
        <v>97.427999999999997</v>
      </c>
      <c r="D229" s="4">
        <v>98.528000000000006</v>
      </c>
      <c r="E229" s="4">
        <v>98.8</v>
      </c>
    </row>
    <row r="230" spans="1:5" x14ac:dyDescent="0.3">
      <c r="A230" s="4">
        <v>22.800000000000054</v>
      </c>
      <c r="B230" s="4">
        <v>98.295999999999992</v>
      </c>
      <c r="C230" s="4">
        <v>97.635000000000005</v>
      </c>
      <c r="D230" s="4">
        <v>98.644000000000005</v>
      </c>
      <c r="E230" s="4">
        <v>98.899000000000001</v>
      </c>
    </row>
    <row r="231" spans="1:5" x14ac:dyDescent="0.3">
      <c r="A231" s="4">
        <v>22.900000000000055</v>
      </c>
      <c r="B231" s="4">
        <v>98.448999999999998</v>
      </c>
      <c r="C231" s="4">
        <v>97.84</v>
      </c>
      <c r="D231" s="4">
        <v>98.76</v>
      </c>
      <c r="E231" s="4">
        <v>98.997</v>
      </c>
    </row>
    <row r="232" spans="1:5" x14ac:dyDescent="0.3">
      <c r="A232" s="4">
        <v>23.000000000000057</v>
      </c>
      <c r="B232" s="4">
        <v>98.6</v>
      </c>
      <c r="C232" s="4">
        <v>98.043999999999997</v>
      </c>
      <c r="D232" s="4">
        <v>98.875</v>
      </c>
      <c r="E232" s="4">
        <v>99.094000000000008</v>
      </c>
    </row>
    <row r="233" spans="1:5" x14ac:dyDescent="0.3">
      <c r="A233" s="4">
        <v>23.100000000000058</v>
      </c>
      <c r="B233" s="4">
        <v>98.748999999999995</v>
      </c>
      <c r="C233" s="4">
        <v>98.245999999999995</v>
      </c>
      <c r="D233" s="4">
        <v>98.99</v>
      </c>
      <c r="E233" s="4">
        <v>99.189000000000007</v>
      </c>
    </row>
    <row r="234" spans="1:5" x14ac:dyDescent="0.3">
      <c r="A234" s="4">
        <v>23.20000000000006</v>
      </c>
      <c r="B234" s="4">
        <v>98.896000000000001</v>
      </c>
      <c r="C234" s="4">
        <v>98.447000000000003</v>
      </c>
      <c r="D234" s="4">
        <v>99.103999999999999</v>
      </c>
      <c r="E234" s="4">
        <v>99.283999999999992</v>
      </c>
    </row>
    <row r="235" spans="1:5" x14ac:dyDescent="0.3">
      <c r="A235" s="4">
        <v>23.300000000000061</v>
      </c>
      <c r="B235" s="4">
        <v>99.040999999999997</v>
      </c>
      <c r="C235" s="4">
        <v>98.646999999999991</v>
      </c>
      <c r="D235" s="4">
        <v>99.217999999999989</v>
      </c>
      <c r="E235" s="4">
        <v>99.37700000000001</v>
      </c>
    </row>
    <row r="236" spans="1:5" x14ac:dyDescent="0.3">
      <c r="A236" s="4">
        <v>23.400000000000063</v>
      </c>
      <c r="B236" s="4">
        <v>99.184000000000012</v>
      </c>
      <c r="C236" s="4">
        <v>98.844999999999999</v>
      </c>
      <c r="D236" s="4">
        <v>99.331000000000003</v>
      </c>
      <c r="E236" s="4">
        <v>99.47</v>
      </c>
    </row>
    <row r="237" spans="1:5" x14ac:dyDescent="0.3">
      <c r="A237" s="4">
        <v>23.500000000000064</v>
      </c>
      <c r="B237" s="4">
        <v>99.325000000000003</v>
      </c>
      <c r="C237" s="4">
        <v>99.040999999999997</v>
      </c>
      <c r="D237" s="4">
        <v>99.444000000000003</v>
      </c>
      <c r="E237" s="4">
        <v>99.560999999999993</v>
      </c>
    </row>
    <row r="238" spans="1:5" x14ac:dyDescent="0.3">
      <c r="A238" s="4">
        <v>23.600000000000065</v>
      </c>
      <c r="B238" s="4">
        <v>99.463999999999999</v>
      </c>
      <c r="C238" s="4">
        <v>99.236000000000004</v>
      </c>
      <c r="D238" s="4">
        <v>99.555999999999997</v>
      </c>
      <c r="E238" s="4">
        <v>99.650999999999996</v>
      </c>
    </row>
    <row r="239" spans="1:5" x14ac:dyDescent="0.3">
      <c r="A239" s="4">
        <v>23.700000000000067</v>
      </c>
      <c r="B239" s="4">
        <v>99.600999999999999</v>
      </c>
      <c r="C239" s="4">
        <v>99.429000000000002</v>
      </c>
      <c r="D239" s="4">
        <v>99.668000000000006</v>
      </c>
      <c r="E239" s="4">
        <v>99.74</v>
      </c>
    </row>
    <row r="240" spans="1:5" x14ac:dyDescent="0.3">
      <c r="A240" s="4">
        <v>23.800000000000068</v>
      </c>
      <c r="B240" s="4">
        <v>99.736000000000004</v>
      </c>
      <c r="C240" s="4">
        <v>99.621000000000009</v>
      </c>
      <c r="D240" s="4">
        <v>99.778999999999996</v>
      </c>
      <c r="E240" s="4">
        <v>99.827999999999989</v>
      </c>
    </row>
    <row r="241" spans="1:5" x14ac:dyDescent="0.3">
      <c r="A241" s="4">
        <v>23.90000000000007</v>
      </c>
      <c r="B241" s="4">
        <v>99.869</v>
      </c>
      <c r="C241" s="4">
        <v>99.811000000000007</v>
      </c>
      <c r="D241" s="4">
        <v>99.89</v>
      </c>
      <c r="E241" s="4">
        <v>99.914000000000001</v>
      </c>
    </row>
    <row r="242" spans="1:5" x14ac:dyDescent="0.3">
      <c r="A242" s="4">
        <v>24.000000000000071</v>
      </c>
      <c r="B242" s="4">
        <v>100</v>
      </c>
      <c r="C242" s="4">
        <v>100</v>
      </c>
      <c r="D242" s="4">
        <v>100</v>
      </c>
      <c r="E242" s="4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customXml/itemProps2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 Cuencas</vt:lpstr>
      <vt:lpstr>HUS</vt:lpstr>
      <vt:lpstr>Pp Max</vt:lpstr>
      <vt:lpstr>CD</vt:lpstr>
      <vt:lpstr>DT_USCS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2026-05-30T00:04:53Z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