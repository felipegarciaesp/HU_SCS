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Codigos\HU_SCS\"/>
    </mc:Choice>
  </mc:AlternateContent>
  <xr:revisionPtr revIDLastSave="0" documentId="13_ncr:1_{9675E104-ED50-4A54-876F-6109ED75FCE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Info Cuencas" sheetId="1" r:id="rId1"/>
    <sheet name="HUS" sheetId="2" r:id="rId2"/>
    <sheet name="Pp Max" sheetId="3" r:id="rId3"/>
    <sheet name="CD" sheetId="4" r:id="rId4"/>
    <sheet name="Tormentas" sheetId="5" r:id="rId5"/>
    <sheet name="Ratio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3" i="2"/>
  <c r="C2" i="2"/>
  <c r="B2" i="2"/>
  <c r="B1" i="4" a="1"/>
  <c r="B1" i="4" s="1"/>
  <c r="B1" i="3" a="1"/>
  <c r="B1" i="3" s="1"/>
  <c r="R2" i="1" l="1"/>
  <c r="D14" i="2"/>
  <c r="D18" i="2"/>
  <c r="D27" i="2"/>
  <c r="D55" i="2"/>
  <c r="D71" i="2"/>
  <c r="D87" i="2"/>
  <c r="A3" i="2"/>
  <c r="A4" i="2"/>
  <c r="B4" i="2" s="1"/>
  <c r="A5" i="2"/>
  <c r="B5" i="2" s="1"/>
  <c r="A6" i="2"/>
  <c r="B6" i="2" s="1"/>
  <c r="A7" i="2"/>
  <c r="B7" i="2" s="1"/>
  <c r="A8" i="2"/>
  <c r="B8" i="2" s="1"/>
  <c r="A9" i="2"/>
  <c r="B9" i="2" s="1"/>
  <c r="A10" i="2"/>
  <c r="B10" i="2" s="1"/>
  <c r="A11" i="2"/>
  <c r="B11" i="2" s="1"/>
  <c r="A12" i="2"/>
  <c r="A13" i="2"/>
  <c r="A14" i="2"/>
  <c r="A15" i="2"/>
  <c r="D15" i="2" s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D44" i="2" s="1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D60" i="2" s="1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2" i="2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2" i="1"/>
  <c r="R3" i="1"/>
  <c r="H3" i="1"/>
  <c r="H2" i="1"/>
  <c r="F3" i="1"/>
  <c r="F2" i="1"/>
  <c r="F93" i="2" l="1"/>
  <c r="B93" i="2"/>
  <c r="F77" i="2"/>
  <c r="B77" i="2"/>
  <c r="F61" i="2"/>
  <c r="B61" i="2"/>
  <c r="F45" i="2"/>
  <c r="B45" i="2"/>
  <c r="F29" i="2"/>
  <c r="B29" i="2"/>
  <c r="F13" i="2"/>
  <c r="B13" i="2"/>
  <c r="F92" i="2"/>
  <c r="B92" i="2"/>
  <c r="F91" i="2"/>
  <c r="B91" i="2"/>
  <c r="F75" i="2"/>
  <c r="B75" i="2"/>
  <c r="F59" i="2"/>
  <c r="B59" i="2"/>
  <c r="F43" i="2"/>
  <c r="B43" i="2"/>
  <c r="F27" i="2"/>
  <c r="B27" i="2"/>
  <c r="D59" i="2"/>
  <c r="F12" i="2"/>
  <c r="B12" i="2"/>
  <c r="F90" i="2"/>
  <c r="B90" i="2"/>
  <c r="F74" i="2"/>
  <c r="B74" i="2"/>
  <c r="F58" i="2"/>
  <c r="B58" i="2"/>
  <c r="F42" i="2"/>
  <c r="B42" i="2"/>
  <c r="F26" i="2"/>
  <c r="B26" i="2"/>
  <c r="F28" i="2"/>
  <c r="B28" i="2"/>
  <c r="F89" i="2"/>
  <c r="B89" i="2"/>
  <c r="F73" i="2"/>
  <c r="B73" i="2"/>
  <c r="F57" i="2"/>
  <c r="B57" i="2"/>
  <c r="F41" i="2"/>
  <c r="B41" i="2"/>
  <c r="F25" i="2"/>
  <c r="B25" i="2"/>
  <c r="F60" i="2"/>
  <c r="B60" i="2"/>
  <c r="F72" i="2"/>
  <c r="B72" i="2"/>
  <c r="F56" i="2"/>
  <c r="B56" i="2"/>
  <c r="D43" i="2"/>
  <c r="F44" i="2"/>
  <c r="B44" i="2"/>
  <c r="F88" i="2"/>
  <c r="B88" i="2"/>
  <c r="F24" i="2"/>
  <c r="B24" i="2"/>
  <c r="F87" i="2"/>
  <c r="B87" i="2"/>
  <c r="F71" i="2"/>
  <c r="B71" i="2"/>
  <c r="F55" i="2"/>
  <c r="B55" i="2"/>
  <c r="F39" i="2"/>
  <c r="B39" i="2"/>
  <c r="F23" i="2"/>
  <c r="B23" i="2"/>
  <c r="D39" i="2"/>
  <c r="F76" i="2"/>
  <c r="B76" i="2"/>
  <c r="F40" i="2"/>
  <c r="B40" i="2"/>
  <c r="F86" i="2"/>
  <c r="B86" i="2"/>
  <c r="F70" i="2"/>
  <c r="B70" i="2"/>
  <c r="F54" i="2"/>
  <c r="B54" i="2"/>
  <c r="F38" i="2"/>
  <c r="B38" i="2"/>
  <c r="F22" i="2"/>
  <c r="B22" i="2"/>
  <c r="D28" i="2"/>
  <c r="F85" i="2"/>
  <c r="B85" i="2"/>
  <c r="F53" i="2"/>
  <c r="B53" i="2"/>
  <c r="F37" i="2"/>
  <c r="B37" i="2"/>
  <c r="F21" i="2"/>
  <c r="B21" i="2"/>
  <c r="D100" i="2"/>
  <c r="B100" i="2"/>
  <c r="F84" i="2"/>
  <c r="B84" i="2"/>
  <c r="F68" i="2"/>
  <c r="B68" i="2"/>
  <c r="F52" i="2"/>
  <c r="B52" i="2"/>
  <c r="F36" i="2"/>
  <c r="B36" i="2"/>
  <c r="F20" i="2"/>
  <c r="B20" i="2"/>
  <c r="D23" i="2"/>
  <c r="F69" i="2"/>
  <c r="B69" i="2"/>
  <c r="D99" i="2"/>
  <c r="B99" i="2"/>
  <c r="F83" i="2"/>
  <c r="B83" i="2"/>
  <c r="F67" i="2"/>
  <c r="B67" i="2"/>
  <c r="F51" i="2"/>
  <c r="B51" i="2"/>
  <c r="F35" i="2"/>
  <c r="B35" i="2"/>
  <c r="F19" i="2"/>
  <c r="B19" i="2"/>
  <c r="G3" i="2"/>
  <c r="B3" i="2"/>
  <c r="F98" i="2"/>
  <c r="B98" i="2"/>
  <c r="F82" i="2"/>
  <c r="B82" i="2"/>
  <c r="F66" i="2"/>
  <c r="B66" i="2"/>
  <c r="F50" i="2"/>
  <c r="B50" i="2"/>
  <c r="F34" i="2"/>
  <c r="B34" i="2"/>
  <c r="F18" i="2"/>
  <c r="B18" i="2"/>
  <c r="D92" i="2"/>
  <c r="D97" i="2"/>
  <c r="B97" i="2"/>
  <c r="F65" i="2"/>
  <c r="B65" i="2"/>
  <c r="F49" i="2"/>
  <c r="B49" i="2"/>
  <c r="F33" i="2"/>
  <c r="B33" i="2"/>
  <c r="F17" i="2"/>
  <c r="B17" i="2"/>
  <c r="D91" i="2"/>
  <c r="F32" i="2"/>
  <c r="B32" i="2"/>
  <c r="D3" i="2"/>
  <c r="F96" i="2"/>
  <c r="B96" i="2"/>
  <c r="F16" i="2"/>
  <c r="B16" i="2"/>
  <c r="F95" i="2"/>
  <c r="B95" i="2"/>
  <c r="F79" i="2"/>
  <c r="B79" i="2"/>
  <c r="F63" i="2"/>
  <c r="B63" i="2"/>
  <c r="F47" i="2"/>
  <c r="B47" i="2"/>
  <c r="F31" i="2"/>
  <c r="B31" i="2"/>
  <c r="F15" i="2"/>
  <c r="B15" i="2"/>
  <c r="D76" i="2"/>
  <c r="D2" i="2"/>
  <c r="F81" i="2"/>
  <c r="B81" i="2"/>
  <c r="F80" i="2"/>
  <c r="B80" i="2"/>
  <c r="F64" i="2"/>
  <c r="B64" i="2"/>
  <c r="F48" i="2"/>
  <c r="B48" i="2"/>
  <c r="F94" i="2"/>
  <c r="B94" i="2"/>
  <c r="F78" i="2"/>
  <c r="B78" i="2"/>
  <c r="F62" i="2"/>
  <c r="B62" i="2"/>
  <c r="F46" i="2"/>
  <c r="B46" i="2"/>
  <c r="F30" i="2"/>
  <c r="B30" i="2"/>
  <c r="F14" i="2"/>
  <c r="B14" i="2"/>
  <c r="D75" i="2"/>
  <c r="F3" i="2"/>
  <c r="D50" i="2"/>
  <c r="D47" i="2"/>
  <c r="D94" i="2"/>
  <c r="D78" i="2"/>
  <c r="D62" i="2"/>
  <c r="D46" i="2"/>
  <c r="D30" i="2"/>
  <c r="D34" i="2"/>
  <c r="D95" i="2"/>
  <c r="D79" i="2"/>
  <c r="D63" i="2"/>
  <c r="D31" i="2"/>
  <c r="D11" i="2"/>
  <c r="F11" i="2"/>
  <c r="G11" i="2"/>
  <c r="H11" i="2"/>
  <c r="D93" i="2"/>
  <c r="D77" i="2"/>
  <c r="D61" i="2"/>
  <c r="D45" i="2"/>
  <c r="D29" i="2"/>
  <c r="D13" i="2"/>
  <c r="D66" i="2"/>
  <c r="F10" i="2"/>
  <c r="G10" i="2"/>
  <c r="H10" i="2"/>
  <c r="D12" i="2"/>
  <c r="D98" i="2"/>
  <c r="G9" i="2"/>
  <c r="F9" i="2"/>
  <c r="H9" i="2"/>
  <c r="F8" i="2"/>
  <c r="G8" i="2"/>
  <c r="H8" i="2"/>
  <c r="D90" i="2"/>
  <c r="D74" i="2"/>
  <c r="D58" i="2"/>
  <c r="D42" i="2"/>
  <c r="D26" i="2"/>
  <c r="H7" i="2"/>
  <c r="F7" i="2"/>
  <c r="G7" i="2"/>
  <c r="D89" i="2"/>
  <c r="D73" i="2"/>
  <c r="D57" i="2"/>
  <c r="D41" i="2"/>
  <c r="D25" i="2"/>
  <c r="D6" i="2"/>
  <c r="F6" i="2"/>
  <c r="G6" i="2"/>
  <c r="H6" i="2"/>
  <c r="D88" i="2"/>
  <c r="D72" i="2"/>
  <c r="D56" i="2"/>
  <c r="D40" i="2"/>
  <c r="D24" i="2"/>
  <c r="F100" i="2"/>
  <c r="D82" i="2"/>
  <c r="F2" i="2"/>
  <c r="G2" i="2" s="1"/>
  <c r="D4" i="2"/>
  <c r="G4" i="2"/>
  <c r="D86" i="2"/>
  <c r="D70" i="2"/>
  <c r="D54" i="2"/>
  <c r="D38" i="2"/>
  <c r="D22" i="2"/>
  <c r="F99" i="2"/>
  <c r="D5" i="2"/>
  <c r="F5" i="2"/>
  <c r="H5" i="2"/>
  <c r="G5" i="2"/>
  <c r="D85" i="2"/>
  <c r="D69" i="2"/>
  <c r="D53" i="2"/>
  <c r="D37" i="2"/>
  <c r="D21" i="2"/>
  <c r="D84" i="2"/>
  <c r="D68" i="2"/>
  <c r="D52" i="2"/>
  <c r="D36" i="2"/>
  <c r="D20" i="2"/>
  <c r="F97" i="2"/>
  <c r="D83" i="2"/>
  <c r="D67" i="2"/>
  <c r="D51" i="2"/>
  <c r="D35" i="2"/>
  <c r="D19" i="2"/>
  <c r="D81" i="2"/>
  <c r="D65" i="2"/>
  <c r="D49" i="2"/>
  <c r="D33" i="2"/>
  <c r="D17" i="2"/>
  <c r="H4" i="2"/>
  <c r="D96" i="2"/>
  <c r="D80" i="2"/>
  <c r="D64" i="2"/>
  <c r="D48" i="2"/>
  <c r="D32" i="2"/>
  <c r="D16" i="2"/>
  <c r="H3" i="2"/>
  <c r="D10" i="2"/>
  <c r="F4" i="2"/>
  <c r="D9" i="2"/>
  <c r="D8" i="2"/>
  <c r="D7" i="2"/>
  <c r="N4" i="1"/>
  <c r="Q4" i="1"/>
  <c r="N5" i="1"/>
  <c r="Q5" i="1"/>
  <c r="N6" i="1"/>
  <c r="Q6" i="1"/>
  <c r="N7" i="1"/>
  <c r="Q7" i="1"/>
  <c r="N8" i="1"/>
  <c r="Q8" i="1"/>
  <c r="N9" i="1"/>
  <c r="Q9" i="1"/>
  <c r="N10" i="1"/>
  <c r="Q10" i="1"/>
  <c r="N11" i="1"/>
  <c r="Q11" i="1"/>
  <c r="M4" i="1"/>
  <c r="M5" i="1"/>
  <c r="M6" i="1"/>
  <c r="M7" i="1"/>
  <c r="M8" i="1"/>
  <c r="M9" i="1"/>
  <c r="M10" i="1"/>
  <c r="M11" i="1"/>
  <c r="M3" i="1"/>
  <c r="P3" i="1"/>
  <c r="P2" i="1"/>
  <c r="O3" i="1"/>
  <c r="O2" i="1"/>
  <c r="N3" i="1"/>
  <c r="N2" i="1"/>
  <c r="Q3" i="1"/>
  <c r="Q2" i="1"/>
  <c r="H2" i="2" l="1"/>
  <c r="O7" i="1"/>
  <c r="P7" i="1"/>
  <c r="O8" i="1"/>
  <c r="P8" i="1"/>
  <c r="P9" i="1"/>
  <c r="O9" i="1"/>
  <c r="P10" i="1"/>
  <c r="O10" i="1"/>
  <c r="O11" i="1"/>
  <c r="P11" i="1"/>
  <c r="O5" i="1"/>
  <c r="P5" i="1"/>
  <c r="P6" i="1"/>
  <c r="O6" i="1"/>
  <c r="O4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<sst xmlns="http://schemas.openxmlformats.org/spreadsheetml/2006/main" count="52" uniqueCount="42">
  <si>
    <t>Cuenca</t>
  </si>
  <si>
    <t>Area (km2)</t>
  </si>
  <si>
    <t>Curva Numero</t>
  </si>
  <si>
    <t>Elevacion Minima (msnm)</t>
  </si>
  <si>
    <t>Elevacion Maxima (msnm)</t>
  </si>
  <si>
    <t>Rango Elevacion (m)</t>
  </si>
  <si>
    <t>Elevacion Media (msnm)</t>
  </si>
  <si>
    <t>Pendiente Media Cauce Principal (m/m)</t>
  </si>
  <si>
    <t>Largo Cauce Principal (km)</t>
  </si>
  <si>
    <t>Largo Cauce - Centro de Gravedad (km)</t>
  </si>
  <si>
    <t>Velocidad Media Cauce Principal (m/s)</t>
  </si>
  <si>
    <t>California Culverts Practice (hr)</t>
  </si>
  <si>
    <t>Giandotti (hr)</t>
  </si>
  <si>
    <t>SCS (hr)</t>
  </si>
  <si>
    <t>Normas Españolas (hr)</t>
  </si>
  <si>
    <t>Velocidad Media (hr)</t>
  </si>
  <si>
    <t>Tiempo de Concentración Adoptado (hr)</t>
  </si>
  <si>
    <t>C_01_CL</t>
  </si>
  <si>
    <t>C_02_CL</t>
  </si>
  <si>
    <t>ΔD propuesto (hr)</t>
  </si>
  <si>
    <t>ΔD adoptado (hr)</t>
  </si>
  <si>
    <t>Tiempo al Peak (hr)</t>
  </si>
  <si>
    <t>Tiempo Base (hr)</t>
  </si>
  <si>
    <t>Caudal Peak (m3/s/mm)</t>
  </si>
  <si>
    <t>Horas</t>
  </si>
  <si>
    <t>T</t>
  </si>
  <si>
    <t>Time ratios (t/Tp)</t>
  </si>
  <si>
    <t>Discharge ratios (q/qp)</t>
  </si>
  <si>
    <t>Mass curve ratios (Qa/Q)</t>
  </si>
  <si>
    <t>Tormenta N°1</t>
  </si>
  <si>
    <t>tiempo (%)</t>
  </si>
  <si>
    <t>Pp (%)</t>
  </si>
  <si>
    <t>Varas Grupo I - 10%</t>
  </si>
  <si>
    <t>Tormenta N°2</t>
  </si>
  <si>
    <t>Varas Grupo II - 10%</t>
  </si>
  <si>
    <t>Tormenta N°3</t>
  </si>
  <si>
    <t>Varas Grupo III - 10%</t>
  </si>
  <si>
    <t>Tormenta N°4</t>
  </si>
  <si>
    <t>SCS - Tipo I</t>
  </si>
  <si>
    <t>Tormenta N°5</t>
  </si>
  <si>
    <t>SCS - Tipo IA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</si>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</sst>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287655</xdr:colOff>
      <xdr:row>0</xdr:row>
      <xdr:rowOff>380999</xdr:rowOff>
    </xdr:from>
    <xdr:to>
      <xdr:col>23</xdr:col>
      <xdr:colOff>59055</xdr:colOff>
      <xdr:row>10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D9E88-788D-A7BB-6F0B-988B10978A38}"/>
            </a:ext>
          </a:extLst>
        </xdr:cNvPr>
        <xdr:cNvSpPr txBox="1"/>
      </xdr:nvSpPr>
      <xdr:spPr>
        <a:xfrm>
          <a:off x="15889605" y="380999"/>
          <a:ext cx="2819400" cy="2028825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El tiempo de concentración</a:t>
          </a:r>
          <a:r>
            <a:rPr lang="en-US" sz="1100" b="1" baseline="0">
              <a:solidFill>
                <a:srgbClr val="FF0000"/>
              </a:solidFill>
            </a:rPr>
            <a:t> adoptado debe ser como mínimo de 10 minutos (0.167 hr aprox).</a:t>
          </a:r>
          <a:br>
            <a:rPr lang="en-US" sz="1100" b="1" baseline="0">
              <a:solidFill>
                <a:srgbClr val="FF0000"/>
              </a:solidFill>
            </a:rPr>
          </a:br>
          <a:br>
            <a:rPr lang="en-US" sz="1100" b="1" baseline="0">
              <a:solidFill>
                <a:srgbClr val="FF0000"/>
              </a:solidFill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Nota para el codigo: si no se ingresa ningun valor de tiempo de concentración adoptado,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detener el código y enviar mensaje de alerta. Si se ingresa un valor inferior a 10 minutos, enviar un mensaje de alerta y preguntar si se quiere continuar con este valor.</a:t>
          </a:r>
          <a:br>
            <a:rPr lang="en-US" sz="1100" b="1" baseline="0">
              <a:solidFill>
                <a:srgbClr val="FF0000"/>
              </a:solidFill>
            </a:rPr>
          </a:br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5</xdr:row>
      <xdr:rowOff>129540</xdr:rowOff>
    </xdr:from>
    <xdr:to>
      <xdr:col>16</xdr:col>
      <xdr:colOff>15240</xdr:colOff>
      <xdr:row>8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548CE5-F1D6-48C7-A32F-E341AF0F50C6}"/>
            </a:ext>
          </a:extLst>
        </xdr:cNvPr>
        <xdr:cNvSpPr txBox="1"/>
      </xdr:nvSpPr>
      <xdr:spPr>
        <a:xfrm>
          <a:off x="6831330" y="1558290"/>
          <a:ext cx="4347210" cy="57531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Nota para el codigo: si no se ingresa ningun delta D adoptado, detener el codigo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y enviar mensaje de alerta.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16</xdr:col>
      <xdr:colOff>9525</xdr:colOff>
      <xdr:row>4</xdr:row>
      <xdr:rowOff>26670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B0B733-C4CE-472E-8143-82D4BFF38A7B}"/>
            </a:ext>
          </a:extLst>
        </xdr:cNvPr>
        <xdr:cNvSpPr txBox="1"/>
      </xdr:nvSpPr>
      <xdr:spPr>
        <a:xfrm>
          <a:off x="6819900" y="704850"/>
          <a:ext cx="4352925" cy="569595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En esta pestaña se debe rellenar el valor de ∆D adoptado en horas. Se recomienda que el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valor en minutos sea divisor de 60.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80010</xdr:colOff>
      <xdr:row>9</xdr:row>
      <xdr:rowOff>100966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2CA157-3F7A-43EF-8EDF-97ABE37DB274}"/>
            </a:ext>
          </a:extLst>
        </xdr:cNvPr>
        <xdr:cNvSpPr txBox="1"/>
      </xdr:nvSpPr>
      <xdr:spPr>
        <a:xfrm>
          <a:off x="2438400" y="180975"/>
          <a:ext cx="4347210" cy="1548766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En esta pestaña se deben agregar las precipitaciones máximas en 24 horas para los períodos de retorno que se quieren analizar.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El codigo va a iterar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sobre</a:t>
          </a: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 todas las precipitaciones máximas en 24 horas que se ingresen.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Nota para el codigo: si no se ingresa ninguna Pp Max, detener el codigo y enviar mensaje de alerta.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81915</xdr:colOff>
      <xdr:row>9</xdr:row>
      <xdr:rowOff>97156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CE1258-6722-4F98-9FA6-6BA08DCA017C}"/>
            </a:ext>
          </a:extLst>
        </xdr:cNvPr>
        <xdr:cNvSpPr txBox="1"/>
      </xdr:nvSpPr>
      <xdr:spPr>
        <a:xfrm>
          <a:off x="7315200" y="180975"/>
          <a:ext cx="4349115" cy="1544956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Nota para el codigo: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Preguntar a copilot si habría problemas con que en "T" se rellenen dos períodos de retorno iguales, o si habría problemas con poner un string acá (como por ejemplo "T=2-CC")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</xdr:rowOff>
    </xdr:from>
    <xdr:to>
      <xdr:col>9</xdr:col>
      <xdr:colOff>360045</xdr:colOff>
      <xdr:row>10</xdr:row>
      <xdr:rowOff>104776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96E3F5-42EB-4365-86AF-9755E5ED77EE}"/>
            </a:ext>
          </a:extLst>
        </xdr:cNvPr>
        <xdr:cNvSpPr txBox="1"/>
      </xdr:nvSpPr>
      <xdr:spPr>
        <a:xfrm>
          <a:off x="2438400" y="180976"/>
          <a:ext cx="3408045" cy="1733550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Agregar solamente los CD correspondientes a las duraciones de tormenta que se van a analizar.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El codigo va a iterar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sobre</a:t>
          </a: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 todos los CD que se ingresen. Calculará todas las distribuciones de tormenta acorde a las duraciones que se quiera evaluar.</a:t>
          </a: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Nota para el codigo: si no se ingresa ningún CD, detener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el codigo y enviar mensaje de alerta.</a:t>
          </a: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83820</xdr:colOff>
      <xdr:row>9</xdr:row>
      <xdr:rowOff>93346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2A0A9D-A96A-4588-9008-7CD268890179}"/>
            </a:ext>
          </a:extLst>
        </xdr:cNvPr>
        <xdr:cNvSpPr txBox="1"/>
      </xdr:nvSpPr>
      <xdr:spPr>
        <a:xfrm>
          <a:off x="6096000" y="180975"/>
          <a:ext cx="4351020" cy="1541146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Nota para el codigo:</a:t>
          </a:r>
          <a:b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Preguntar a copilot si habría problemas con que en "Horas" se rellenen dos duraciones iguales, o si habría problemas con poner un string o un número que no sea entero (aunque esto ultimo no se si se dé en hidrología).</a:t>
          </a:r>
          <a:b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220980</xdr:colOff>
      <xdr:row>1</xdr:row>
      <xdr:rowOff>22860</xdr:rowOff>
    </xdr:from>
    <xdr:to>
      <xdr:col>21</xdr:col>
      <xdr:colOff>581025</xdr:colOff>
      <xdr:row>23</xdr:row>
      <xdr:rowOff>120016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08CBEC-EAE8-483C-80E0-E631A1606A52}"/>
            </a:ext>
          </a:extLst>
        </xdr:cNvPr>
        <xdr:cNvSpPr txBox="1"/>
      </xdr:nvSpPr>
      <xdr:spPr>
        <a:xfrm>
          <a:off x="13936980" y="205740"/>
          <a:ext cx="3408045" cy="4120516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CL" sz="1100" b="1">
              <a:solidFill>
                <a:srgbClr val="FF0000"/>
              </a:solidFill>
              <a:latin typeface="+mn-lt"/>
              <a:ea typeface="+mn-ea"/>
              <a:cs typeface="+mn-cs"/>
            </a:rPr>
            <a:t>En esta pestaña se deben ingresar las distribuciones de tormenta que se analizarán,</a:t>
          </a: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el código va a iterar sobre todas las distribuciones ingresadas.</a:t>
          </a: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Cada distribución de tormenta debe contener:</a:t>
          </a: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- Título en la fila 1, en la celda a continuación de "Tormenta N°X".</a:t>
          </a:r>
          <a:b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</a:br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- Primera columna con el tiempo en porcentaje, con valores de 0 a 100% (se debe incluir el simbolo "%"). Estos datos se rellenan a partir de la fila 3.</a:t>
          </a:r>
        </a:p>
        <a:p>
          <a:pPr marL="0" indent="0"/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- Segunda columna con el porcentaje acumulado (no parcial) de precipitación caída, con valores de 0 a 100% (se debe incluir el símbolo "%"). Estos datos se rellenan a partir de la fila 3.</a:t>
          </a:r>
        </a:p>
        <a:p>
          <a:pPr marL="0" indent="0"/>
          <a:endParaRPr lang="es-CL" sz="1100" b="1" baseline="0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es-CL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La primera distribución ingresada debe estar en las columnas A y B. La segunda fila esta reservada para indicar los nombres de las columnas (tiempo (%) y Pp (%), respectivamente). Cada distribución ingresada debe estar separada con una columna en blanco, por lo que la siguiente debe estar ingresada en las columnas </a:t>
          </a:r>
          <a:endParaRPr lang="es-CL" sz="11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80"/>
  <sheetViews>
    <sheetView workbookViewId="0">
      <selection activeCell="N19" sqref="N19"/>
    </sheetView>
  </sheetViews>
  <sheetFormatPr defaultRowHeight="14.4" x14ac:dyDescent="0.3"/>
  <cols>
    <col min="1" max="1" width="14.6640625" customWidth="1"/>
    <col min="2" max="11" width="12.6640625" customWidth="1"/>
    <col min="13" max="17" width="12.6640625" customWidth="1"/>
    <col min="18" max="18" width="14.33203125" customWidth="1"/>
  </cols>
  <sheetData>
    <row r="1" spans="1:18" ht="55.2" customHeight="1" x14ac:dyDescent="0.3">
      <c r="A1" s="7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t="s">
        <v>17</v>
      </c>
      <c r="B2" s="4">
        <v>117.271</v>
      </c>
      <c r="C2">
        <v>75</v>
      </c>
      <c r="D2" s="5">
        <v>1715</v>
      </c>
      <c r="E2" s="5">
        <v>3626.5</v>
      </c>
      <c r="F2" s="5">
        <f>E2-D2</f>
        <v>1911.5</v>
      </c>
      <c r="G2" s="5">
        <v>2962.0915254327729</v>
      </c>
      <c r="H2" s="3">
        <f>F2/(I2*1000)</f>
        <v>5.214698821475338E-2</v>
      </c>
      <c r="I2" s="3">
        <v>36.655999999999999</v>
      </c>
      <c r="J2" s="3">
        <v>14.802</v>
      </c>
      <c r="K2" s="5">
        <v>1</v>
      </c>
      <c r="M2" s="6">
        <f>IF(OR(I2="",F2=""),"",IF(OR(I2&lt;=0,F2&lt;=0),"",0.95*((I2^3)/F2)^0.385))</f>
        <v>3.3188074541768171</v>
      </c>
      <c r="N2" s="6">
        <f>IF(OR(B2="",I2="",G2="",D2=""),"",IF(OR(B2&lt;=0,I2&lt;=0,G2&lt;=D2),"",(4*SQRT(B2)+1.5*I2)/(0.8*SQRT(G2-D2))))</f>
        <v>3.4795047525588481</v>
      </c>
      <c r="O2" s="6">
        <f>IF(OR(I2="",C2="",H2=""),"",IF(OR(I2&lt;=0,H2&lt;=0,C2&lt;=0,C2&gt;100),"",((100*((I2*1000/0.3048)^0.8)*(((1000/C2)-9)^0.7))/(1900*SQRT(H2*100)))/60))</f>
        <v>12.426822327700261</v>
      </c>
      <c r="P2" s="6">
        <f>IF(OR(I2="",H2=""),"",IF(OR(I2&lt;=0,H2&lt;=0),"",(18*(I2^0.76)/(H2^0.19))/60))</f>
        <v>8.120783933193696</v>
      </c>
      <c r="Q2" s="6">
        <f>IF(OR(I2="",K2=""),"",IF(OR(I2&lt;=0,K2&lt;=0),"",I2/(3.6*K2)))</f>
        <v>10.182222222222222</v>
      </c>
      <c r="R2" s="10">
        <f>AVERAGE(M2,P2)</f>
        <v>5.7197956936852563</v>
      </c>
    </row>
    <row r="3" spans="1:18" x14ac:dyDescent="0.3">
      <c r="A3" t="s">
        <v>18</v>
      </c>
      <c r="B3" s="4">
        <v>447.74</v>
      </c>
      <c r="C3">
        <v>75</v>
      </c>
      <c r="D3" s="5">
        <v>1813</v>
      </c>
      <c r="E3" s="5">
        <v>3219</v>
      </c>
      <c r="F3" s="5">
        <f>E3-D3</f>
        <v>1406</v>
      </c>
      <c r="G3" s="5">
        <v>2803.62</v>
      </c>
      <c r="H3" s="3">
        <f>F3/(I3*1000)</f>
        <v>2.8880124887026539E-2</v>
      </c>
      <c r="I3" s="3">
        <v>48.683999999999997</v>
      </c>
      <c r="J3" s="3">
        <v>18.431000000000001</v>
      </c>
      <c r="K3" s="5">
        <v>1</v>
      </c>
      <c r="M3" s="6">
        <f t="shared" ref="M3:M11" si="0">IF(OR(I3="",F3=""),"",IF(OR(I3&lt;=0,F3&lt;=0),"",0.95*((I3^3)/F3)^0.385))</f>
        <v>5.1841836722908408</v>
      </c>
      <c r="N3" s="6">
        <f>IF(OR(B3="",I3="",G3="",D3=""),"",IF(OR(B3&lt;=0,I3&lt;=0,G3&lt;=D3),"",(4*SQRT(B3)+1.5*I3)/(0.8*SQRT(G3-D3))))</f>
        <v>6.2617115658450908</v>
      </c>
      <c r="O3" s="6">
        <f>IF(OR(I3="",C3="",H3=""),"",IF(OR(I3&lt;=0,H3&lt;=0,C3&lt;=0,C3&gt;100),"",((100*((I3*1000/0.3048)^0.8)*(((1000/C3)-9)^0.7))/(1900*SQRT(H3*100)))/60))</f>
        <v>20.954056778821283</v>
      </c>
      <c r="P3" s="6">
        <f>IF(OR(I3="",H3=""),"",IF(OR(I3&lt;=0,H3&lt;=0),"",(18*(I3^0.76)/(H3^0.19))/60))</f>
        <v>11.272519230099329</v>
      </c>
      <c r="Q3" s="6">
        <f>IF(OR(I3="",K3=""),"",IF(OR(I3&lt;=0,K3&lt;=0),"",I3/(3.6*K3)))</f>
        <v>13.523333333333332</v>
      </c>
      <c r="R3" s="10">
        <f>AVERAGE(M3,P3)</f>
        <v>8.2283514511950848</v>
      </c>
    </row>
    <row r="4" spans="1:18" x14ac:dyDescent="0.3">
      <c r="B4" s="4"/>
      <c r="D4" s="5"/>
      <c r="E4" s="5"/>
      <c r="F4" s="5"/>
      <c r="G4" s="5"/>
      <c r="H4" s="3"/>
      <c r="I4" s="3"/>
      <c r="M4" s="6" t="str">
        <f t="shared" si="0"/>
        <v/>
      </c>
      <c r="N4" s="6" t="str">
        <f t="shared" ref="N4:N11" si="1">IF(OR(B4="",I4="",G4="",D4=""),"",IF(OR(B4&lt;=0,I4&lt;=0,G4&lt;=D4),"",(4*SQRT(B4)+1.5*I4)/(0.8*SQRT(G4-D4))))</f>
        <v/>
      </c>
      <c r="O4" s="6" t="str">
        <f t="shared" ref="O4:O11" si="2">IF(OR(I4="",C4="",H4=""),"",IF(OR(I4&lt;=0,H4&lt;=0,C4&lt;=0,C4&gt;100),"",((100*((I4*1000/0.3048)^0.8)*(((1000/C4)-9)^0.7))/(1900*SQRT(H4*100)))/60))</f>
        <v/>
      </c>
      <c r="P4" s="6" t="str">
        <f t="shared" ref="P4:P11" si="3">IF(OR(I4="",H4=""),"",IF(OR(I4&lt;=0,H4&lt;=0),"",(18*(I4^0.76)/(H4^0.19))/60))</f>
        <v/>
      </c>
      <c r="Q4" s="6" t="str">
        <f t="shared" ref="Q4:Q11" si="4">IF(OR(I4="",K4=""),"",IF(OR(I4&lt;=0,K4&lt;=0),"",I4/(3.6*K4)))</f>
        <v/>
      </c>
      <c r="R4" s="3"/>
    </row>
    <row r="5" spans="1:18" x14ac:dyDescent="0.3">
      <c r="B5" s="4"/>
      <c r="D5" s="5"/>
      <c r="E5" s="5"/>
      <c r="F5" s="5"/>
      <c r="G5" s="5"/>
      <c r="H5" s="3"/>
      <c r="I5" s="3"/>
      <c r="M5" s="6" t="str">
        <f t="shared" si="0"/>
        <v/>
      </c>
      <c r="N5" s="6" t="str">
        <f t="shared" si="1"/>
        <v/>
      </c>
      <c r="O5" s="6" t="str">
        <f t="shared" si="2"/>
        <v/>
      </c>
      <c r="P5" s="6" t="str">
        <f t="shared" si="3"/>
        <v/>
      </c>
      <c r="Q5" s="6" t="str">
        <f t="shared" si="4"/>
        <v/>
      </c>
      <c r="R5" s="3"/>
    </row>
    <row r="6" spans="1:18" x14ac:dyDescent="0.3">
      <c r="B6" s="4"/>
      <c r="D6" s="5"/>
      <c r="E6" s="5"/>
      <c r="F6" s="5"/>
      <c r="G6" s="5"/>
      <c r="H6" s="3"/>
      <c r="I6" s="3"/>
      <c r="M6" s="6" t="str">
        <f t="shared" si="0"/>
        <v/>
      </c>
      <c r="N6" s="6" t="str">
        <f t="shared" si="1"/>
        <v/>
      </c>
      <c r="O6" s="6" t="str">
        <f t="shared" si="2"/>
        <v/>
      </c>
      <c r="P6" s="6" t="str">
        <f t="shared" si="3"/>
        <v/>
      </c>
      <c r="Q6" s="6" t="str">
        <f t="shared" si="4"/>
        <v/>
      </c>
      <c r="R6" s="3"/>
    </row>
    <row r="7" spans="1:18" x14ac:dyDescent="0.3">
      <c r="B7" s="4"/>
      <c r="D7" s="5"/>
      <c r="E7" s="5"/>
      <c r="F7" s="5"/>
      <c r="G7" s="5"/>
      <c r="H7" s="3"/>
      <c r="I7" s="3"/>
      <c r="M7" s="6" t="str">
        <f t="shared" si="0"/>
        <v/>
      </c>
      <c r="N7" s="6" t="str">
        <f t="shared" si="1"/>
        <v/>
      </c>
      <c r="O7" s="6" t="str">
        <f t="shared" si="2"/>
        <v/>
      </c>
      <c r="P7" s="6" t="str">
        <f t="shared" si="3"/>
        <v/>
      </c>
      <c r="Q7" s="6" t="str">
        <f t="shared" si="4"/>
        <v/>
      </c>
      <c r="R7" s="3"/>
    </row>
    <row r="8" spans="1:18" x14ac:dyDescent="0.3">
      <c r="B8" s="4"/>
      <c r="D8" s="5"/>
      <c r="E8" s="5"/>
      <c r="F8" s="5"/>
      <c r="G8" s="5"/>
      <c r="H8" s="3"/>
      <c r="I8" s="3"/>
      <c r="M8" s="6" t="str">
        <f t="shared" si="0"/>
        <v/>
      </c>
      <c r="N8" s="6" t="str">
        <f t="shared" si="1"/>
        <v/>
      </c>
      <c r="O8" s="6" t="str">
        <f t="shared" si="2"/>
        <v/>
      </c>
      <c r="P8" s="6" t="str">
        <f t="shared" si="3"/>
        <v/>
      </c>
      <c r="Q8" s="6" t="str">
        <f t="shared" si="4"/>
        <v/>
      </c>
      <c r="R8" s="3"/>
    </row>
    <row r="9" spans="1:18" x14ac:dyDescent="0.3">
      <c r="B9" s="4"/>
      <c r="D9" s="5"/>
      <c r="E9" s="5"/>
      <c r="F9" s="5"/>
      <c r="G9" s="5"/>
      <c r="H9" s="3"/>
      <c r="I9" s="3"/>
      <c r="M9" s="6" t="str">
        <f t="shared" si="0"/>
        <v/>
      </c>
      <c r="N9" s="6" t="str">
        <f t="shared" si="1"/>
        <v/>
      </c>
      <c r="O9" s="6" t="str">
        <f t="shared" si="2"/>
        <v/>
      </c>
      <c r="P9" s="6" t="str">
        <f t="shared" si="3"/>
        <v/>
      </c>
      <c r="Q9" s="6" t="str">
        <f t="shared" si="4"/>
        <v/>
      </c>
      <c r="R9" s="3"/>
    </row>
    <row r="10" spans="1:18" x14ac:dyDescent="0.3">
      <c r="B10" s="4"/>
      <c r="D10" s="5"/>
      <c r="E10" s="5"/>
      <c r="F10" s="5"/>
      <c r="G10" s="5"/>
      <c r="H10" s="3"/>
      <c r="I10" s="3"/>
      <c r="M10" s="6" t="str">
        <f t="shared" si="0"/>
        <v/>
      </c>
      <c r="N10" s="6" t="str">
        <f t="shared" si="1"/>
        <v/>
      </c>
      <c r="O10" s="6" t="str">
        <f t="shared" si="2"/>
        <v/>
      </c>
      <c r="P10" s="6" t="str">
        <f t="shared" si="3"/>
        <v/>
      </c>
      <c r="Q10" s="6" t="str">
        <f t="shared" si="4"/>
        <v/>
      </c>
      <c r="R10" s="3"/>
    </row>
    <row r="11" spans="1:18" x14ac:dyDescent="0.3">
      <c r="B11" s="4"/>
      <c r="D11" s="5"/>
      <c r="E11" s="5"/>
      <c r="F11" s="5"/>
      <c r="G11" s="5"/>
      <c r="H11" s="3"/>
      <c r="I11" s="3"/>
      <c r="M11" s="6" t="str">
        <f t="shared" si="0"/>
        <v/>
      </c>
      <c r="N11" s="6" t="str">
        <f t="shared" si="1"/>
        <v/>
      </c>
      <c r="O11" s="6" t="str">
        <f t="shared" si="2"/>
        <v/>
      </c>
      <c r="P11" s="6" t="str">
        <f t="shared" si="3"/>
        <v/>
      </c>
      <c r="Q11" s="6" t="str">
        <f t="shared" si="4"/>
        <v/>
      </c>
    </row>
    <row r="12" spans="1:18" x14ac:dyDescent="0.3">
      <c r="B12" s="4"/>
      <c r="D12" s="5"/>
      <c r="E12" s="5"/>
      <c r="F12" s="5"/>
      <c r="G12" s="5"/>
      <c r="H12" s="3"/>
      <c r="I12" s="3"/>
      <c r="M12" s="6" t="str">
        <f t="shared" ref="M12:M75" si="5">IF(OR(I12="",F12=""),"",IF(OR(I12&lt;=0,F12&lt;=0),"",0.95*((I12^3)/F12)^0.385))</f>
        <v/>
      </c>
      <c r="N12" s="6" t="str">
        <f t="shared" ref="N12:N75" si="6">IF(OR(B12="",I12="",G12="",D12=""),"",IF(OR(B12&lt;=0,I12&lt;=0,G12&lt;=D12),"",(4*SQRT(B12)+1.5*I12)/(0.8*SQRT(G12-D12))))</f>
        <v/>
      </c>
      <c r="O12" s="6" t="str">
        <f t="shared" ref="O12:O75" si="7">IF(OR(I12="",C12="",H12=""),"",IF(OR(I12&lt;=0,H12&lt;=0,C12&lt;=0,C12&gt;100),"",((100*((I12*1000/0.3048)^0.8)*(((1000/C12)-9)^0.7))/(1900*SQRT(H12*100)))/60))</f>
        <v/>
      </c>
      <c r="P12" s="6" t="str">
        <f t="shared" ref="P12:P75" si="8">IF(OR(I12="",H12=""),"",IF(OR(I12&lt;=0,H12&lt;=0),"",(18*(I12^0.76)/(H12^0.19))/60))</f>
        <v/>
      </c>
      <c r="Q12" s="6" t="str">
        <f t="shared" ref="Q12:Q75" si="9">IF(OR(I12="",K12=""),"",IF(OR(I12&lt;=0,K12&lt;=0),"",I12/(3.6*K12)))</f>
        <v/>
      </c>
    </row>
    <row r="13" spans="1:18" x14ac:dyDescent="0.3">
      <c r="B13" s="4"/>
      <c r="D13" s="5"/>
      <c r="E13" s="5"/>
      <c r="F13" s="5"/>
      <c r="G13" s="5"/>
      <c r="H13" s="3"/>
      <c r="I13" s="3"/>
      <c r="M13" s="6" t="str">
        <f t="shared" si="5"/>
        <v/>
      </c>
      <c r="N13" s="6" t="str">
        <f t="shared" si="6"/>
        <v/>
      </c>
      <c r="O13" s="6" t="str">
        <f t="shared" si="7"/>
        <v/>
      </c>
      <c r="P13" s="6" t="str">
        <f t="shared" si="8"/>
        <v/>
      </c>
      <c r="Q13" s="6" t="str">
        <f t="shared" si="9"/>
        <v/>
      </c>
    </row>
    <row r="14" spans="1:18" x14ac:dyDescent="0.3">
      <c r="B14" s="4"/>
      <c r="D14" s="5"/>
      <c r="E14" s="5"/>
      <c r="F14" s="5"/>
      <c r="G14" s="5"/>
      <c r="H14" s="3"/>
      <c r="I14" s="3"/>
      <c r="M14" s="6" t="str">
        <f t="shared" si="5"/>
        <v/>
      </c>
      <c r="N14" s="6" t="str">
        <f t="shared" si="6"/>
        <v/>
      </c>
      <c r="O14" s="6" t="str">
        <f t="shared" si="7"/>
        <v/>
      </c>
      <c r="P14" s="6" t="str">
        <f t="shared" si="8"/>
        <v/>
      </c>
      <c r="Q14" s="6" t="str">
        <f t="shared" si="9"/>
        <v/>
      </c>
    </row>
    <row r="15" spans="1:18" x14ac:dyDescent="0.3">
      <c r="M15" s="6" t="str">
        <f t="shared" si="5"/>
        <v/>
      </c>
      <c r="N15" s="6" t="str">
        <f t="shared" si="6"/>
        <v/>
      </c>
      <c r="O15" s="6" t="str">
        <f t="shared" si="7"/>
        <v/>
      </c>
      <c r="P15" s="6" t="str">
        <f t="shared" si="8"/>
        <v/>
      </c>
      <c r="Q15" s="6" t="str">
        <f t="shared" si="9"/>
        <v/>
      </c>
    </row>
    <row r="16" spans="1:18" x14ac:dyDescent="0.3">
      <c r="M16" s="6" t="str">
        <f t="shared" si="5"/>
        <v/>
      </c>
      <c r="N16" s="6" t="str">
        <f t="shared" si="6"/>
        <v/>
      </c>
      <c r="O16" s="6" t="str">
        <f t="shared" si="7"/>
        <v/>
      </c>
      <c r="P16" s="6" t="str">
        <f t="shared" si="8"/>
        <v/>
      </c>
      <c r="Q16" s="6" t="str">
        <f t="shared" si="9"/>
        <v/>
      </c>
    </row>
    <row r="17" spans="8:17" x14ac:dyDescent="0.3">
      <c r="M17" s="6" t="str">
        <f t="shared" si="5"/>
        <v/>
      </c>
      <c r="N17" s="6" t="str">
        <f t="shared" si="6"/>
        <v/>
      </c>
      <c r="O17" s="6" t="str">
        <f t="shared" si="7"/>
        <v/>
      </c>
      <c r="P17" s="6" t="str">
        <f t="shared" si="8"/>
        <v/>
      </c>
      <c r="Q17" s="6" t="str">
        <f t="shared" si="9"/>
        <v/>
      </c>
    </row>
    <row r="18" spans="8:17" x14ac:dyDescent="0.3">
      <c r="M18" s="6" t="str">
        <f t="shared" si="5"/>
        <v/>
      </c>
      <c r="N18" s="6" t="str">
        <f t="shared" si="6"/>
        <v/>
      </c>
      <c r="O18" s="6" t="str">
        <f t="shared" si="7"/>
        <v/>
      </c>
      <c r="P18" s="6" t="str">
        <f t="shared" si="8"/>
        <v/>
      </c>
      <c r="Q18" s="6" t="str">
        <f t="shared" si="9"/>
        <v/>
      </c>
    </row>
    <row r="19" spans="8:17" x14ac:dyDescent="0.3">
      <c r="H19" s="3"/>
      <c r="M19" s="6" t="str">
        <f t="shared" si="5"/>
        <v/>
      </c>
      <c r="N19" s="6" t="str">
        <f t="shared" si="6"/>
        <v/>
      </c>
      <c r="O19" s="6" t="str">
        <f t="shared" si="7"/>
        <v/>
      </c>
      <c r="P19" s="6" t="str">
        <f t="shared" si="8"/>
        <v/>
      </c>
      <c r="Q19" s="6" t="str">
        <f t="shared" si="9"/>
        <v/>
      </c>
    </row>
    <row r="20" spans="8:17" x14ac:dyDescent="0.3">
      <c r="H20" s="3"/>
      <c r="M20" s="6" t="str">
        <f t="shared" si="5"/>
        <v/>
      </c>
      <c r="N20" s="6" t="str">
        <f t="shared" si="6"/>
        <v/>
      </c>
      <c r="O20" s="6" t="str">
        <f t="shared" si="7"/>
        <v/>
      </c>
      <c r="P20" s="6" t="str">
        <f t="shared" si="8"/>
        <v/>
      </c>
      <c r="Q20" s="6" t="str">
        <f t="shared" si="9"/>
        <v/>
      </c>
    </row>
    <row r="21" spans="8:17" x14ac:dyDescent="0.3">
      <c r="M21" s="6" t="str">
        <f t="shared" si="5"/>
        <v/>
      </c>
      <c r="N21" s="6" t="str">
        <f t="shared" si="6"/>
        <v/>
      </c>
      <c r="O21" s="6" t="str">
        <f t="shared" si="7"/>
        <v/>
      </c>
      <c r="P21" s="6" t="str">
        <f t="shared" si="8"/>
        <v/>
      </c>
      <c r="Q21" s="6" t="str">
        <f t="shared" si="9"/>
        <v/>
      </c>
    </row>
    <row r="22" spans="8:17" x14ac:dyDescent="0.3">
      <c r="M22" s="6" t="str">
        <f t="shared" si="5"/>
        <v/>
      </c>
      <c r="N22" s="6" t="str">
        <f t="shared" si="6"/>
        <v/>
      </c>
      <c r="O22" s="6" t="str">
        <f t="shared" si="7"/>
        <v/>
      </c>
      <c r="P22" s="6" t="str">
        <f t="shared" si="8"/>
        <v/>
      </c>
      <c r="Q22" s="6" t="str">
        <f t="shared" si="9"/>
        <v/>
      </c>
    </row>
    <row r="23" spans="8:17" x14ac:dyDescent="0.3">
      <c r="M23" s="6" t="str">
        <f t="shared" si="5"/>
        <v/>
      </c>
      <c r="N23" s="6" t="str">
        <f t="shared" si="6"/>
        <v/>
      </c>
      <c r="O23" s="6" t="str">
        <f t="shared" si="7"/>
        <v/>
      </c>
      <c r="P23" s="6" t="str">
        <f t="shared" si="8"/>
        <v/>
      </c>
      <c r="Q23" s="6" t="str">
        <f t="shared" si="9"/>
        <v/>
      </c>
    </row>
    <row r="24" spans="8:17" x14ac:dyDescent="0.3">
      <c r="M24" s="6" t="str">
        <f t="shared" si="5"/>
        <v/>
      </c>
      <c r="N24" s="6" t="str">
        <f t="shared" si="6"/>
        <v/>
      </c>
      <c r="O24" s="6" t="str">
        <f t="shared" si="7"/>
        <v/>
      </c>
      <c r="P24" s="6" t="str">
        <f t="shared" si="8"/>
        <v/>
      </c>
      <c r="Q24" s="6" t="str">
        <f t="shared" si="9"/>
        <v/>
      </c>
    </row>
    <row r="25" spans="8:17" x14ac:dyDescent="0.3">
      <c r="M25" s="6" t="str">
        <f t="shared" si="5"/>
        <v/>
      </c>
      <c r="N25" s="6" t="str">
        <f t="shared" si="6"/>
        <v/>
      </c>
      <c r="O25" s="6" t="str">
        <f t="shared" si="7"/>
        <v/>
      </c>
      <c r="P25" s="6" t="str">
        <f t="shared" si="8"/>
        <v/>
      </c>
      <c r="Q25" s="6" t="str">
        <f t="shared" si="9"/>
        <v/>
      </c>
    </row>
    <row r="26" spans="8:17" x14ac:dyDescent="0.3">
      <c r="M26" s="6" t="str">
        <f t="shared" si="5"/>
        <v/>
      </c>
      <c r="N26" s="6" t="str">
        <f t="shared" si="6"/>
        <v/>
      </c>
      <c r="O26" s="6" t="str">
        <f t="shared" si="7"/>
        <v/>
      </c>
      <c r="P26" s="6" t="str">
        <f t="shared" si="8"/>
        <v/>
      </c>
      <c r="Q26" s="6" t="str">
        <f t="shared" si="9"/>
        <v/>
      </c>
    </row>
    <row r="27" spans="8:17" x14ac:dyDescent="0.3">
      <c r="M27" s="6" t="str">
        <f t="shared" si="5"/>
        <v/>
      </c>
      <c r="N27" s="6" t="str">
        <f t="shared" si="6"/>
        <v/>
      </c>
      <c r="O27" s="6" t="str">
        <f t="shared" si="7"/>
        <v/>
      </c>
      <c r="P27" s="6" t="str">
        <f t="shared" si="8"/>
        <v/>
      </c>
      <c r="Q27" s="6" t="str">
        <f t="shared" si="9"/>
        <v/>
      </c>
    </row>
    <row r="28" spans="8:17" x14ac:dyDescent="0.3">
      <c r="M28" s="6" t="str">
        <f t="shared" si="5"/>
        <v/>
      </c>
      <c r="N28" s="6" t="str">
        <f t="shared" si="6"/>
        <v/>
      </c>
      <c r="O28" s="6" t="str">
        <f t="shared" si="7"/>
        <v/>
      </c>
      <c r="P28" s="6" t="str">
        <f t="shared" si="8"/>
        <v/>
      </c>
      <c r="Q28" s="6" t="str">
        <f t="shared" si="9"/>
        <v/>
      </c>
    </row>
    <row r="29" spans="8:17" x14ac:dyDescent="0.3">
      <c r="M29" s="6" t="str">
        <f t="shared" si="5"/>
        <v/>
      </c>
      <c r="N29" s="6" t="str">
        <f t="shared" si="6"/>
        <v/>
      </c>
      <c r="O29" s="6" t="str">
        <f t="shared" si="7"/>
        <v/>
      </c>
      <c r="P29" s="6" t="str">
        <f t="shared" si="8"/>
        <v/>
      </c>
      <c r="Q29" s="6" t="str">
        <f t="shared" si="9"/>
        <v/>
      </c>
    </row>
    <row r="30" spans="8:17" x14ac:dyDescent="0.3">
      <c r="M30" s="6" t="str">
        <f t="shared" si="5"/>
        <v/>
      </c>
      <c r="N30" s="6" t="str">
        <f t="shared" si="6"/>
        <v/>
      </c>
      <c r="O30" s="6" t="str">
        <f t="shared" si="7"/>
        <v/>
      </c>
      <c r="P30" s="6" t="str">
        <f t="shared" si="8"/>
        <v/>
      </c>
      <c r="Q30" s="6" t="str">
        <f t="shared" si="9"/>
        <v/>
      </c>
    </row>
    <row r="31" spans="8:17" x14ac:dyDescent="0.3">
      <c r="M31" s="6" t="str">
        <f t="shared" si="5"/>
        <v/>
      </c>
      <c r="N31" s="6" t="str">
        <f t="shared" si="6"/>
        <v/>
      </c>
      <c r="O31" s="6" t="str">
        <f t="shared" si="7"/>
        <v/>
      </c>
      <c r="P31" s="6" t="str">
        <f t="shared" si="8"/>
        <v/>
      </c>
      <c r="Q31" s="6" t="str">
        <f t="shared" si="9"/>
        <v/>
      </c>
    </row>
    <row r="32" spans="8:17" x14ac:dyDescent="0.3">
      <c r="M32" s="6" t="str">
        <f t="shared" si="5"/>
        <v/>
      </c>
      <c r="N32" s="6" t="str">
        <f t="shared" si="6"/>
        <v/>
      </c>
      <c r="O32" s="6" t="str">
        <f t="shared" si="7"/>
        <v/>
      </c>
      <c r="P32" s="6" t="str">
        <f t="shared" si="8"/>
        <v/>
      </c>
      <c r="Q32" s="6" t="str">
        <f t="shared" si="9"/>
        <v/>
      </c>
    </row>
    <row r="33" spans="13:17" x14ac:dyDescent="0.3">
      <c r="M33" s="6" t="str">
        <f t="shared" si="5"/>
        <v/>
      </c>
      <c r="N33" s="6" t="str">
        <f t="shared" si="6"/>
        <v/>
      </c>
      <c r="O33" s="6" t="str">
        <f t="shared" si="7"/>
        <v/>
      </c>
      <c r="P33" s="6" t="str">
        <f t="shared" si="8"/>
        <v/>
      </c>
      <c r="Q33" s="6" t="str">
        <f t="shared" si="9"/>
        <v/>
      </c>
    </row>
    <row r="34" spans="13:17" x14ac:dyDescent="0.3">
      <c r="M34" s="6" t="str">
        <f t="shared" si="5"/>
        <v/>
      </c>
      <c r="N34" s="6" t="str">
        <f t="shared" si="6"/>
        <v/>
      </c>
      <c r="O34" s="6" t="str">
        <f t="shared" si="7"/>
        <v/>
      </c>
      <c r="P34" s="6" t="str">
        <f t="shared" si="8"/>
        <v/>
      </c>
      <c r="Q34" s="6" t="str">
        <f t="shared" si="9"/>
        <v/>
      </c>
    </row>
    <row r="35" spans="13:17" x14ac:dyDescent="0.3">
      <c r="M35" s="6" t="str">
        <f t="shared" si="5"/>
        <v/>
      </c>
      <c r="N35" s="6" t="str">
        <f t="shared" si="6"/>
        <v/>
      </c>
      <c r="O35" s="6" t="str">
        <f t="shared" si="7"/>
        <v/>
      </c>
      <c r="P35" s="6" t="str">
        <f t="shared" si="8"/>
        <v/>
      </c>
      <c r="Q35" s="6" t="str">
        <f t="shared" si="9"/>
        <v/>
      </c>
    </row>
    <row r="36" spans="13:17" x14ac:dyDescent="0.3">
      <c r="M36" s="6" t="str">
        <f t="shared" si="5"/>
        <v/>
      </c>
      <c r="N36" s="6" t="str">
        <f t="shared" si="6"/>
        <v/>
      </c>
      <c r="O36" s="6" t="str">
        <f t="shared" si="7"/>
        <v/>
      </c>
      <c r="P36" s="6" t="str">
        <f t="shared" si="8"/>
        <v/>
      </c>
      <c r="Q36" s="6" t="str">
        <f t="shared" si="9"/>
        <v/>
      </c>
    </row>
    <row r="37" spans="13:17" x14ac:dyDescent="0.3">
      <c r="M37" s="6" t="str">
        <f t="shared" si="5"/>
        <v/>
      </c>
      <c r="N37" s="6" t="str">
        <f t="shared" si="6"/>
        <v/>
      </c>
      <c r="O37" s="6" t="str">
        <f t="shared" si="7"/>
        <v/>
      </c>
      <c r="P37" s="6" t="str">
        <f t="shared" si="8"/>
        <v/>
      </c>
      <c r="Q37" s="6" t="str">
        <f t="shared" si="9"/>
        <v/>
      </c>
    </row>
    <row r="38" spans="13:17" x14ac:dyDescent="0.3">
      <c r="M38" s="6" t="str">
        <f t="shared" si="5"/>
        <v/>
      </c>
      <c r="N38" s="6" t="str">
        <f t="shared" si="6"/>
        <v/>
      </c>
      <c r="O38" s="6" t="str">
        <f t="shared" si="7"/>
        <v/>
      </c>
      <c r="P38" s="6" t="str">
        <f t="shared" si="8"/>
        <v/>
      </c>
      <c r="Q38" s="6" t="str">
        <f t="shared" si="9"/>
        <v/>
      </c>
    </row>
    <row r="39" spans="13:17" x14ac:dyDescent="0.3">
      <c r="M39" s="6" t="str">
        <f t="shared" si="5"/>
        <v/>
      </c>
      <c r="N39" s="6" t="str">
        <f t="shared" si="6"/>
        <v/>
      </c>
      <c r="O39" s="6" t="str">
        <f t="shared" si="7"/>
        <v/>
      </c>
      <c r="P39" s="6" t="str">
        <f t="shared" si="8"/>
        <v/>
      </c>
      <c r="Q39" s="6" t="str">
        <f t="shared" si="9"/>
        <v/>
      </c>
    </row>
    <row r="40" spans="13:17" x14ac:dyDescent="0.3">
      <c r="M40" s="6" t="str">
        <f t="shared" si="5"/>
        <v/>
      </c>
      <c r="N40" s="6" t="str">
        <f t="shared" si="6"/>
        <v/>
      </c>
      <c r="O40" s="6" t="str">
        <f t="shared" si="7"/>
        <v/>
      </c>
      <c r="P40" s="6" t="str">
        <f t="shared" si="8"/>
        <v/>
      </c>
      <c r="Q40" s="6" t="str">
        <f t="shared" si="9"/>
        <v/>
      </c>
    </row>
    <row r="41" spans="13:17" x14ac:dyDescent="0.3">
      <c r="M41" s="6" t="str">
        <f t="shared" si="5"/>
        <v/>
      </c>
      <c r="N41" s="6" t="str">
        <f t="shared" si="6"/>
        <v/>
      </c>
      <c r="O41" s="6" t="str">
        <f t="shared" si="7"/>
        <v/>
      </c>
      <c r="P41" s="6" t="str">
        <f t="shared" si="8"/>
        <v/>
      </c>
      <c r="Q41" s="6" t="str">
        <f t="shared" si="9"/>
        <v/>
      </c>
    </row>
    <row r="42" spans="13:17" x14ac:dyDescent="0.3">
      <c r="M42" s="6" t="str">
        <f t="shared" si="5"/>
        <v/>
      </c>
      <c r="N42" s="6" t="str">
        <f t="shared" si="6"/>
        <v/>
      </c>
      <c r="O42" s="6" t="str">
        <f t="shared" si="7"/>
        <v/>
      </c>
      <c r="P42" s="6" t="str">
        <f t="shared" si="8"/>
        <v/>
      </c>
      <c r="Q42" s="6" t="str">
        <f t="shared" si="9"/>
        <v/>
      </c>
    </row>
    <row r="43" spans="13:17" x14ac:dyDescent="0.3">
      <c r="M43" s="6" t="str">
        <f t="shared" si="5"/>
        <v/>
      </c>
      <c r="N43" s="6" t="str">
        <f t="shared" si="6"/>
        <v/>
      </c>
      <c r="O43" s="6" t="str">
        <f t="shared" si="7"/>
        <v/>
      </c>
      <c r="P43" s="6" t="str">
        <f t="shared" si="8"/>
        <v/>
      </c>
      <c r="Q43" s="6" t="str">
        <f t="shared" si="9"/>
        <v/>
      </c>
    </row>
    <row r="44" spans="13:17" x14ac:dyDescent="0.3">
      <c r="M44" s="6" t="str">
        <f t="shared" si="5"/>
        <v/>
      </c>
      <c r="N44" s="6" t="str">
        <f t="shared" si="6"/>
        <v/>
      </c>
      <c r="O44" s="6" t="str">
        <f t="shared" si="7"/>
        <v/>
      </c>
      <c r="P44" s="6" t="str">
        <f t="shared" si="8"/>
        <v/>
      </c>
      <c r="Q44" s="6" t="str">
        <f t="shared" si="9"/>
        <v/>
      </c>
    </row>
    <row r="45" spans="13:17" x14ac:dyDescent="0.3">
      <c r="M45" s="6" t="str">
        <f t="shared" si="5"/>
        <v/>
      </c>
      <c r="N45" s="6" t="str">
        <f t="shared" si="6"/>
        <v/>
      </c>
      <c r="O45" s="6" t="str">
        <f t="shared" si="7"/>
        <v/>
      </c>
      <c r="P45" s="6" t="str">
        <f t="shared" si="8"/>
        <v/>
      </c>
      <c r="Q45" s="6" t="str">
        <f t="shared" si="9"/>
        <v/>
      </c>
    </row>
    <row r="46" spans="13:17" x14ac:dyDescent="0.3">
      <c r="M46" s="6" t="str">
        <f t="shared" si="5"/>
        <v/>
      </c>
      <c r="N46" s="6" t="str">
        <f t="shared" si="6"/>
        <v/>
      </c>
      <c r="O46" s="6" t="str">
        <f t="shared" si="7"/>
        <v/>
      </c>
      <c r="P46" s="6" t="str">
        <f t="shared" si="8"/>
        <v/>
      </c>
      <c r="Q46" s="6" t="str">
        <f t="shared" si="9"/>
        <v/>
      </c>
    </row>
    <row r="47" spans="13:17" x14ac:dyDescent="0.3">
      <c r="M47" s="6" t="str">
        <f t="shared" si="5"/>
        <v/>
      </c>
      <c r="N47" s="6" t="str">
        <f t="shared" si="6"/>
        <v/>
      </c>
      <c r="O47" s="6" t="str">
        <f t="shared" si="7"/>
        <v/>
      </c>
      <c r="P47" s="6" t="str">
        <f t="shared" si="8"/>
        <v/>
      </c>
      <c r="Q47" s="6" t="str">
        <f t="shared" si="9"/>
        <v/>
      </c>
    </row>
    <row r="48" spans="13:17" x14ac:dyDescent="0.3">
      <c r="M48" s="6" t="str">
        <f t="shared" si="5"/>
        <v/>
      </c>
      <c r="N48" s="6" t="str">
        <f t="shared" si="6"/>
        <v/>
      </c>
      <c r="O48" s="6" t="str">
        <f t="shared" si="7"/>
        <v/>
      </c>
      <c r="P48" s="6" t="str">
        <f t="shared" si="8"/>
        <v/>
      </c>
      <c r="Q48" s="6" t="str">
        <f t="shared" si="9"/>
        <v/>
      </c>
    </row>
    <row r="49" spans="13:17" x14ac:dyDescent="0.3">
      <c r="M49" s="6" t="str">
        <f t="shared" si="5"/>
        <v/>
      </c>
      <c r="N49" s="6" t="str">
        <f t="shared" si="6"/>
        <v/>
      </c>
      <c r="O49" s="6" t="str">
        <f t="shared" si="7"/>
        <v/>
      </c>
      <c r="P49" s="6" t="str">
        <f t="shared" si="8"/>
        <v/>
      </c>
      <c r="Q49" s="6" t="str">
        <f t="shared" si="9"/>
        <v/>
      </c>
    </row>
    <row r="50" spans="13:17" x14ac:dyDescent="0.3">
      <c r="M50" s="6" t="str">
        <f t="shared" si="5"/>
        <v/>
      </c>
      <c r="N50" s="6" t="str">
        <f t="shared" si="6"/>
        <v/>
      </c>
      <c r="O50" s="6" t="str">
        <f t="shared" si="7"/>
        <v/>
      </c>
      <c r="P50" s="6" t="str">
        <f t="shared" si="8"/>
        <v/>
      </c>
      <c r="Q50" s="6" t="str">
        <f t="shared" si="9"/>
        <v/>
      </c>
    </row>
    <row r="51" spans="13:17" x14ac:dyDescent="0.3">
      <c r="M51" s="6" t="str">
        <f t="shared" si="5"/>
        <v/>
      </c>
      <c r="N51" s="6" t="str">
        <f t="shared" si="6"/>
        <v/>
      </c>
      <c r="O51" s="6" t="str">
        <f t="shared" si="7"/>
        <v/>
      </c>
      <c r="P51" s="6" t="str">
        <f t="shared" si="8"/>
        <v/>
      </c>
      <c r="Q51" s="6" t="str">
        <f t="shared" si="9"/>
        <v/>
      </c>
    </row>
    <row r="52" spans="13:17" x14ac:dyDescent="0.3">
      <c r="M52" s="6" t="str">
        <f t="shared" si="5"/>
        <v/>
      </c>
      <c r="N52" s="6" t="str">
        <f t="shared" si="6"/>
        <v/>
      </c>
      <c r="O52" s="6" t="str">
        <f t="shared" si="7"/>
        <v/>
      </c>
      <c r="P52" s="6" t="str">
        <f t="shared" si="8"/>
        <v/>
      </c>
      <c r="Q52" s="6" t="str">
        <f t="shared" si="9"/>
        <v/>
      </c>
    </row>
    <row r="53" spans="13:17" x14ac:dyDescent="0.3">
      <c r="M53" s="6" t="str">
        <f t="shared" si="5"/>
        <v/>
      </c>
      <c r="N53" s="6" t="str">
        <f t="shared" si="6"/>
        <v/>
      </c>
      <c r="O53" s="6" t="str">
        <f t="shared" si="7"/>
        <v/>
      </c>
      <c r="P53" s="6" t="str">
        <f t="shared" si="8"/>
        <v/>
      </c>
      <c r="Q53" s="6" t="str">
        <f t="shared" si="9"/>
        <v/>
      </c>
    </row>
    <row r="54" spans="13:17" x14ac:dyDescent="0.3">
      <c r="M54" s="6" t="str">
        <f t="shared" si="5"/>
        <v/>
      </c>
      <c r="N54" s="6" t="str">
        <f t="shared" si="6"/>
        <v/>
      </c>
      <c r="O54" s="6" t="str">
        <f t="shared" si="7"/>
        <v/>
      </c>
      <c r="P54" s="6" t="str">
        <f t="shared" si="8"/>
        <v/>
      </c>
      <c r="Q54" s="6" t="str">
        <f t="shared" si="9"/>
        <v/>
      </c>
    </row>
    <row r="55" spans="13:17" x14ac:dyDescent="0.3">
      <c r="M55" s="6" t="str">
        <f t="shared" si="5"/>
        <v/>
      </c>
      <c r="N55" s="6" t="str">
        <f t="shared" si="6"/>
        <v/>
      </c>
      <c r="O55" s="6" t="str">
        <f t="shared" si="7"/>
        <v/>
      </c>
      <c r="P55" s="6" t="str">
        <f t="shared" si="8"/>
        <v/>
      </c>
      <c r="Q55" s="6" t="str">
        <f t="shared" si="9"/>
        <v/>
      </c>
    </row>
    <row r="56" spans="13:17" x14ac:dyDescent="0.3">
      <c r="M56" s="6" t="str">
        <f t="shared" si="5"/>
        <v/>
      </c>
      <c r="N56" s="6" t="str">
        <f t="shared" si="6"/>
        <v/>
      </c>
      <c r="O56" s="6" t="str">
        <f t="shared" si="7"/>
        <v/>
      </c>
      <c r="P56" s="6" t="str">
        <f t="shared" si="8"/>
        <v/>
      </c>
      <c r="Q56" s="6" t="str">
        <f t="shared" si="9"/>
        <v/>
      </c>
    </row>
    <row r="57" spans="13:17" x14ac:dyDescent="0.3">
      <c r="M57" s="6" t="str">
        <f t="shared" si="5"/>
        <v/>
      </c>
      <c r="N57" s="6" t="str">
        <f t="shared" si="6"/>
        <v/>
      </c>
      <c r="O57" s="6" t="str">
        <f t="shared" si="7"/>
        <v/>
      </c>
      <c r="P57" s="6" t="str">
        <f t="shared" si="8"/>
        <v/>
      </c>
      <c r="Q57" s="6" t="str">
        <f t="shared" si="9"/>
        <v/>
      </c>
    </row>
    <row r="58" spans="13:17" x14ac:dyDescent="0.3">
      <c r="M58" s="6" t="str">
        <f t="shared" si="5"/>
        <v/>
      </c>
      <c r="N58" s="6" t="str">
        <f t="shared" si="6"/>
        <v/>
      </c>
      <c r="O58" s="6" t="str">
        <f t="shared" si="7"/>
        <v/>
      </c>
      <c r="P58" s="6" t="str">
        <f t="shared" si="8"/>
        <v/>
      </c>
      <c r="Q58" s="6" t="str">
        <f t="shared" si="9"/>
        <v/>
      </c>
    </row>
    <row r="59" spans="13:17" x14ac:dyDescent="0.3">
      <c r="M59" s="6" t="str">
        <f t="shared" si="5"/>
        <v/>
      </c>
      <c r="N59" s="6" t="str">
        <f t="shared" si="6"/>
        <v/>
      </c>
      <c r="O59" s="6" t="str">
        <f t="shared" si="7"/>
        <v/>
      </c>
      <c r="P59" s="6" t="str">
        <f t="shared" si="8"/>
        <v/>
      </c>
      <c r="Q59" s="6" t="str">
        <f t="shared" si="9"/>
        <v/>
      </c>
    </row>
    <row r="60" spans="13:17" x14ac:dyDescent="0.3">
      <c r="M60" s="6" t="str">
        <f t="shared" si="5"/>
        <v/>
      </c>
      <c r="N60" s="6" t="str">
        <f t="shared" si="6"/>
        <v/>
      </c>
      <c r="O60" s="6" t="str">
        <f t="shared" si="7"/>
        <v/>
      </c>
      <c r="P60" s="6" t="str">
        <f t="shared" si="8"/>
        <v/>
      </c>
      <c r="Q60" s="6" t="str">
        <f t="shared" si="9"/>
        <v/>
      </c>
    </row>
    <row r="61" spans="13:17" x14ac:dyDescent="0.3">
      <c r="M61" s="6" t="str">
        <f t="shared" si="5"/>
        <v/>
      </c>
      <c r="N61" s="6" t="str">
        <f t="shared" si="6"/>
        <v/>
      </c>
      <c r="O61" s="6" t="str">
        <f t="shared" si="7"/>
        <v/>
      </c>
      <c r="P61" s="6" t="str">
        <f t="shared" si="8"/>
        <v/>
      </c>
      <c r="Q61" s="6" t="str">
        <f t="shared" si="9"/>
        <v/>
      </c>
    </row>
    <row r="62" spans="13:17" x14ac:dyDescent="0.3">
      <c r="M62" s="6" t="str">
        <f t="shared" si="5"/>
        <v/>
      </c>
      <c r="N62" s="6" t="str">
        <f t="shared" si="6"/>
        <v/>
      </c>
      <c r="O62" s="6" t="str">
        <f t="shared" si="7"/>
        <v/>
      </c>
      <c r="P62" s="6" t="str">
        <f t="shared" si="8"/>
        <v/>
      </c>
      <c r="Q62" s="6" t="str">
        <f t="shared" si="9"/>
        <v/>
      </c>
    </row>
    <row r="63" spans="13:17" x14ac:dyDescent="0.3">
      <c r="M63" s="6" t="str">
        <f t="shared" si="5"/>
        <v/>
      </c>
      <c r="N63" s="6" t="str">
        <f t="shared" si="6"/>
        <v/>
      </c>
      <c r="O63" s="6" t="str">
        <f t="shared" si="7"/>
        <v/>
      </c>
      <c r="P63" s="6" t="str">
        <f t="shared" si="8"/>
        <v/>
      </c>
      <c r="Q63" s="6" t="str">
        <f t="shared" si="9"/>
        <v/>
      </c>
    </row>
    <row r="64" spans="13:17" x14ac:dyDescent="0.3">
      <c r="M64" s="6" t="str">
        <f t="shared" si="5"/>
        <v/>
      </c>
      <c r="N64" s="6" t="str">
        <f t="shared" si="6"/>
        <v/>
      </c>
      <c r="O64" s="6" t="str">
        <f t="shared" si="7"/>
        <v/>
      </c>
      <c r="P64" s="6" t="str">
        <f t="shared" si="8"/>
        <v/>
      </c>
      <c r="Q64" s="6" t="str">
        <f t="shared" si="9"/>
        <v/>
      </c>
    </row>
    <row r="65" spans="13:17" x14ac:dyDescent="0.3">
      <c r="M65" s="6" t="str">
        <f t="shared" si="5"/>
        <v/>
      </c>
      <c r="N65" s="6" t="str">
        <f t="shared" si="6"/>
        <v/>
      </c>
      <c r="O65" s="6" t="str">
        <f t="shared" si="7"/>
        <v/>
      </c>
      <c r="P65" s="6" t="str">
        <f t="shared" si="8"/>
        <v/>
      </c>
      <c r="Q65" s="6" t="str">
        <f t="shared" si="9"/>
        <v/>
      </c>
    </row>
    <row r="66" spans="13:17" x14ac:dyDescent="0.3">
      <c r="M66" s="6" t="str">
        <f t="shared" si="5"/>
        <v/>
      </c>
      <c r="N66" s="6" t="str">
        <f t="shared" si="6"/>
        <v/>
      </c>
      <c r="O66" s="6" t="str">
        <f t="shared" si="7"/>
        <v/>
      </c>
      <c r="P66" s="6" t="str">
        <f t="shared" si="8"/>
        <v/>
      </c>
      <c r="Q66" s="6" t="str">
        <f t="shared" si="9"/>
        <v/>
      </c>
    </row>
    <row r="67" spans="13:17" x14ac:dyDescent="0.3">
      <c r="M67" s="6" t="str">
        <f t="shared" si="5"/>
        <v/>
      </c>
      <c r="N67" s="6" t="str">
        <f t="shared" si="6"/>
        <v/>
      </c>
      <c r="O67" s="6" t="str">
        <f t="shared" si="7"/>
        <v/>
      </c>
      <c r="P67" s="6" t="str">
        <f t="shared" si="8"/>
        <v/>
      </c>
      <c r="Q67" s="6" t="str">
        <f t="shared" si="9"/>
        <v/>
      </c>
    </row>
    <row r="68" spans="13:17" x14ac:dyDescent="0.3">
      <c r="M68" s="6" t="str">
        <f t="shared" si="5"/>
        <v/>
      </c>
      <c r="N68" s="6" t="str">
        <f t="shared" si="6"/>
        <v/>
      </c>
      <c r="O68" s="6" t="str">
        <f t="shared" si="7"/>
        <v/>
      </c>
      <c r="P68" s="6" t="str">
        <f t="shared" si="8"/>
        <v/>
      </c>
      <c r="Q68" s="6" t="str">
        <f t="shared" si="9"/>
        <v/>
      </c>
    </row>
    <row r="69" spans="13:17" x14ac:dyDescent="0.3">
      <c r="M69" s="6" t="str">
        <f t="shared" si="5"/>
        <v/>
      </c>
      <c r="N69" s="6" t="str">
        <f t="shared" si="6"/>
        <v/>
      </c>
      <c r="O69" s="6" t="str">
        <f t="shared" si="7"/>
        <v/>
      </c>
      <c r="P69" s="6" t="str">
        <f t="shared" si="8"/>
        <v/>
      </c>
      <c r="Q69" s="6" t="str">
        <f t="shared" si="9"/>
        <v/>
      </c>
    </row>
    <row r="70" spans="13:17" x14ac:dyDescent="0.3">
      <c r="M70" s="6" t="str">
        <f t="shared" si="5"/>
        <v/>
      </c>
      <c r="N70" s="6" t="str">
        <f t="shared" si="6"/>
        <v/>
      </c>
      <c r="O70" s="6" t="str">
        <f t="shared" si="7"/>
        <v/>
      </c>
      <c r="P70" s="6" t="str">
        <f t="shared" si="8"/>
        <v/>
      </c>
      <c r="Q70" s="6" t="str">
        <f t="shared" si="9"/>
        <v/>
      </c>
    </row>
    <row r="71" spans="13:17" x14ac:dyDescent="0.3">
      <c r="M71" s="6" t="str">
        <f t="shared" si="5"/>
        <v/>
      </c>
      <c r="N71" s="6" t="str">
        <f t="shared" si="6"/>
        <v/>
      </c>
      <c r="O71" s="6" t="str">
        <f t="shared" si="7"/>
        <v/>
      </c>
      <c r="P71" s="6" t="str">
        <f t="shared" si="8"/>
        <v/>
      </c>
      <c r="Q71" s="6" t="str">
        <f t="shared" si="9"/>
        <v/>
      </c>
    </row>
    <row r="72" spans="13:17" x14ac:dyDescent="0.3">
      <c r="M72" s="6" t="str">
        <f t="shared" si="5"/>
        <v/>
      </c>
      <c r="N72" s="6" t="str">
        <f t="shared" si="6"/>
        <v/>
      </c>
      <c r="O72" s="6" t="str">
        <f t="shared" si="7"/>
        <v/>
      </c>
      <c r="P72" s="6" t="str">
        <f t="shared" si="8"/>
        <v/>
      </c>
      <c r="Q72" s="6" t="str">
        <f t="shared" si="9"/>
        <v/>
      </c>
    </row>
    <row r="73" spans="13:17" x14ac:dyDescent="0.3">
      <c r="M73" s="6" t="str">
        <f t="shared" si="5"/>
        <v/>
      </c>
      <c r="N73" s="6" t="str">
        <f t="shared" si="6"/>
        <v/>
      </c>
      <c r="O73" s="6" t="str">
        <f t="shared" si="7"/>
        <v/>
      </c>
      <c r="P73" s="6" t="str">
        <f t="shared" si="8"/>
        <v/>
      </c>
      <c r="Q73" s="6" t="str">
        <f t="shared" si="9"/>
        <v/>
      </c>
    </row>
    <row r="74" spans="13:17" x14ac:dyDescent="0.3">
      <c r="M74" s="6" t="str">
        <f t="shared" si="5"/>
        <v/>
      </c>
      <c r="N74" s="6" t="str">
        <f t="shared" si="6"/>
        <v/>
      </c>
      <c r="O74" s="6" t="str">
        <f t="shared" si="7"/>
        <v/>
      </c>
      <c r="P74" s="6" t="str">
        <f t="shared" si="8"/>
        <v/>
      </c>
      <c r="Q74" s="6" t="str">
        <f t="shared" si="9"/>
        <v/>
      </c>
    </row>
    <row r="75" spans="13:17" x14ac:dyDescent="0.3">
      <c r="M75" s="6" t="str">
        <f t="shared" si="5"/>
        <v/>
      </c>
      <c r="N75" s="6" t="str">
        <f t="shared" si="6"/>
        <v/>
      </c>
      <c r="O75" s="6" t="str">
        <f t="shared" si="7"/>
        <v/>
      </c>
      <c r="P75" s="6" t="str">
        <f t="shared" si="8"/>
        <v/>
      </c>
      <c r="Q75" s="6" t="str">
        <f t="shared" si="9"/>
        <v/>
      </c>
    </row>
    <row r="76" spans="13:17" x14ac:dyDescent="0.3">
      <c r="M76" s="6" t="str">
        <f t="shared" ref="M76:M100" si="10">IF(OR(I76="",F76=""),"",IF(OR(I76&lt;=0,F76&lt;=0),"",0.95*((I76^3)/F76)^0.385))</f>
        <v/>
      </c>
      <c r="N76" s="6" t="str">
        <f t="shared" ref="N76:N100" si="11">IF(OR(B76="",I76="",G76="",D76=""),"",IF(OR(B76&lt;=0,I76&lt;=0,G76&lt;=D76),"",(4*SQRT(B76)+1.5*I76)/(0.8*SQRT(G76-D76))))</f>
        <v/>
      </c>
      <c r="O76" s="6" t="str">
        <f t="shared" ref="O76:O100" si="12">IF(OR(I76="",C76="",H76=""),"",IF(OR(I76&lt;=0,H76&lt;=0,C76&lt;=0,C76&gt;100),"",((100*((I76*1000/0.3048)^0.8)*(((1000/C76)-9)^0.7))/(1900*SQRT(H76*100)))/60))</f>
        <v/>
      </c>
      <c r="P76" s="6" t="str">
        <f t="shared" ref="P76:P100" si="13">IF(OR(I76="",H76=""),"",IF(OR(I76&lt;=0,H76&lt;=0),"",(18*(I76^0.76)/(H76^0.19))/60))</f>
        <v/>
      </c>
      <c r="Q76" s="6" t="str">
        <f t="shared" ref="Q76:Q100" si="14">IF(OR(I76="",K76=""),"",IF(OR(I76&lt;=0,K76&lt;=0),"",I76/(3.6*K76)))</f>
        <v/>
      </c>
    </row>
    <row r="77" spans="13:17" x14ac:dyDescent="0.3">
      <c r="M77" s="6" t="str">
        <f t="shared" si="10"/>
        <v/>
      </c>
      <c r="N77" s="6" t="str">
        <f t="shared" si="11"/>
        <v/>
      </c>
      <c r="O77" s="6" t="str">
        <f t="shared" si="12"/>
        <v/>
      </c>
      <c r="P77" s="6" t="str">
        <f t="shared" si="13"/>
        <v/>
      </c>
      <c r="Q77" s="6" t="str">
        <f t="shared" si="14"/>
        <v/>
      </c>
    </row>
    <row r="78" spans="13:17" x14ac:dyDescent="0.3">
      <c r="M78" s="6" t="str">
        <f t="shared" si="10"/>
        <v/>
      </c>
      <c r="N78" s="6" t="str">
        <f t="shared" si="11"/>
        <v/>
      </c>
      <c r="O78" s="6" t="str">
        <f t="shared" si="12"/>
        <v/>
      </c>
      <c r="P78" s="6" t="str">
        <f t="shared" si="13"/>
        <v/>
      </c>
      <c r="Q78" s="6" t="str">
        <f t="shared" si="14"/>
        <v/>
      </c>
    </row>
    <row r="79" spans="13:17" x14ac:dyDescent="0.3">
      <c r="M79" s="6" t="str">
        <f t="shared" si="10"/>
        <v/>
      </c>
      <c r="N79" s="6" t="str">
        <f t="shared" si="11"/>
        <v/>
      </c>
      <c r="O79" s="6" t="str">
        <f t="shared" si="12"/>
        <v/>
      </c>
      <c r="P79" s="6" t="str">
        <f t="shared" si="13"/>
        <v/>
      </c>
      <c r="Q79" s="6" t="str">
        <f t="shared" si="14"/>
        <v/>
      </c>
    </row>
    <row r="80" spans="13:17" x14ac:dyDescent="0.3">
      <c r="M80" s="6" t="str">
        <f t="shared" si="10"/>
        <v/>
      </c>
      <c r="N80" s="6" t="str">
        <f t="shared" si="11"/>
        <v/>
      </c>
      <c r="O80" s="6" t="str">
        <f t="shared" si="12"/>
        <v/>
      </c>
      <c r="P80" s="6" t="str">
        <f t="shared" si="13"/>
        <v/>
      </c>
      <c r="Q80" s="6" t="str">
        <f t="shared" si="14"/>
        <v/>
      </c>
    </row>
    <row r="81" spans="13:17" x14ac:dyDescent="0.3">
      <c r="M81" s="6" t="str">
        <f t="shared" si="10"/>
        <v/>
      </c>
      <c r="N81" s="6" t="str">
        <f t="shared" si="11"/>
        <v/>
      </c>
      <c r="O81" s="6" t="str">
        <f t="shared" si="12"/>
        <v/>
      </c>
      <c r="P81" s="6" t="str">
        <f t="shared" si="13"/>
        <v/>
      </c>
      <c r="Q81" s="6" t="str">
        <f t="shared" si="14"/>
        <v/>
      </c>
    </row>
    <row r="82" spans="13:17" x14ac:dyDescent="0.3">
      <c r="M82" s="6" t="str">
        <f t="shared" si="10"/>
        <v/>
      </c>
      <c r="N82" s="6" t="str">
        <f t="shared" si="11"/>
        <v/>
      </c>
      <c r="O82" s="6" t="str">
        <f t="shared" si="12"/>
        <v/>
      </c>
      <c r="P82" s="6" t="str">
        <f t="shared" si="13"/>
        <v/>
      </c>
      <c r="Q82" s="6" t="str">
        <f t="shared" si="14"/>
        <v/>
      </c>
    </row>
    <row r="83" spans="13:17" x14ac:dyDescent="0.3">
      <c r="M83" s="6" t="str">
        <f t="shared" si="10"/>
        <v/>
      </c>
      <c r="N83" s="6" t="str">
        <f t="shared" si="11"/>
        <v/>
      </c>
      <c r="O83" s="6" t="str">
        <f t="shared" si="12"/>
        <v/>
      </c>
      <c r="P83" s="6" t="str">
        <f t="shared" si="13"/>
        <v/>
      </c>
      <c r="Q83" s="6" t="str">
        <f t="shared" si="14"/>
        <v/>
      </c>
    </row>
    <row r="84" spans="13:17" x14ac:dyDescent="0.3">
      <c r="M84" s="6" t="str">
        <f t="shared" si="10"/>
        <v/>
      </c>
      <c r="N84" s="6" t="str">
        <f t="shared" si="11"/>
        <v/>
      </c>
      <c r="O84" s="6" t="str">
        <f t="shared" si="12"/>
        <v/>
      </c>
      <c r="P84" s="6" t="str">
        <f t="shared" si="13"/>
        <v/>
      </c>
      <c r="Q84" s="6" t="str">
        <f t="shared" si="14"/>
        <v/>
      </c>
    </row>
    <row r="85" spans="13:17" x14ac:dyDescent="0.3">
      <c r="M85" s="6" t="str">
        <f t="shared" si="10"/>
        <v/>
      </c>
      <c r="N85" s="6" t="str">
        <f t="shared" si="11"/>
        <v/>
      </c>
      <c r="O85" s="6" t="str">
        <f t="shared" si="12"/>
        <v/>
      </c>
      <c r="P85" s="6" t="str">
        <f t="shared" si="13"/>
        <v/>
      </c>
      <c r="Q85" s="6" t="str">
        <f t="shared" si="14"/>
        <v/>
      </c>
    </row>
    <row r="86" spans="13:17" x14ac:dyDescent="0.3">
      <c r="M86" s="6" t="str">
        <f t="shared" si="10"/>
        <v/>
      </c>
      <c r="N86" s="6" t="str">
        <f t="shared" si="11"/>
        <v/>
      </c>
      <c r="O86" s="6" t="str">
        <f t="shared" si="12"/>
        <v/>
      </c>
      <c r="P86" s="6" t="str">
        <f t="shared" si="13"/>
        <v/>
      </c>
      <c r="Q86" s="6" t="str">
        <f t="shared" si="14"/>
        <v/>
      </c>
    </row>
    <row r="87" spans="13:17" x14ac:dyDescent="0.3">
      <c r="M87" s="6" t="str">
        <f t="shared" si="10"/>
        <v/>
      </c>
      <c r="N87" s="6" t="str">
        <f t="shared" si="11"/>
        <v/>
      </c>
      <c r="O87" s="6" t="str">
        <f t="shared" si="12"/>
        <v/>
      </c>
      <c r="P87" s="6" t="str">
        <f t="shared" si="13"/>
        <v/>
      </c>
      <c r="Q87" s="6" t="str">
        <f t="shared" si="14"/>
        <v/>
      </c>
    </row>
    <row r="88" spans="13:17" x14ac:dyDescent="0.3">
      <c r="M88" s="6" t="str">
        <f t="shared" si="10"/>
        <v/>
      </c>
      <c r="N88" s="6" t="str">
        <f t="shared" si="11"/>
        <v/>
      </c>
      <c r="O88" s="6" t="str">
        <f t="shared" si="12"/>
        <v/>
      </c>
      <c r="P88" s="6" t="str">
        <f t="shared" si="13"/>
        <v/>
      </c>
      <c r="Q88" s="6" t="str">
        <f t="shared" si="14"/>
        <v/>
      </c>
    </row>
    <row r="89" spans="13:17" x14ac:dyDescent="0.3">
      <c r="M89" s="6" t="str">
        <f t="shared" si="10"/>
        <v/>
      </c>
      <c r="N89" s="6" t="str">
        <f t="shared" si="11"/>
        <v/>
      </c>
      <c r="O89" s="6" t="str">
        <f t="shared" si="12"/>
        <v/>
      </c>
      <c r="P89" s="6" t="str">
        <f t="shared" si="13"/>
        <v/>
      </c>
      <c r="Q89" s="6" t="str">
        <f t="shared" si="14"/>
        <v/>
      </c>
    </row>
    <row r="90" spans="13:17" x14ac:dyDescent="0.3">
      <c r="M90" s="6" t="str">
        <f t="shared" si="10"/>
        <v/>
      </c>
      <c r="N90" s="6" t="str">
        <f t="shared" si="11"/>
        <v/>
      </c>
      <c r="O90" s="6" t="str">
        <f t="shared" si="12"/>
        <v/>
      </c>
      <c r="P90" s="6" t="str">
        <f t="shared" si="13"/>
        <v/>
      </c>
      <c r="Q90" s="6" t="str">
        <f t="shared" si="14"/>
        <v/>
      </c>
    </row>
    <row r="91" spans="13:17" x14ac:dyDescent="0.3">
      <c r="M91" s="6" t="str">
        <f t="shared" si="10"/>
        <v/>
      </c>
      <c r="N91" s="6" t="str">
        <f t="shared" si="11"/>
        <v/>
      </c>
      <c r="O91" s="6" t="str">
        <f t="shared" si="12"/>
        <v/>
      </c>
      <c r="P91" s="6" t="str">
        <f t="shared" si="13"/>
        <v/>
      </c>
      <c r="Q91" s="6" t="str">
        <f t="shared" si="14"/>
        <v/>
      </c>
    </row>
    <row r="92" spans="13:17" x14ac:dyDescent="0.3">
      <c r="M92" s="6" t="str">
        <f t="shared" si="10"/>
        <v/>
      </c>
      <c r="N92" s="6" t="str">
        <f t="shared" si="11"/>
        <v/>
      </c>
      <c r="O92" s="6" t="str">
        <f t="shared" si="12"/>
        <v/>
      </c>
      <c r="P92" s="6" t="str">
        <f t="shared" si="13"/>
        <v/>
      </c>
      <c r="Q92" s="6" t="str">
        <f t="shared" si="14"/>
        <v/>
      </c>
    </row>
    <row r="93" spans="13:17" x14ac:dyDescent="0.3">
      <c r="M93" s="6" t="str">
        <f t="shared" si="10"/>
        <v/>
      </c>
      <c r="N93" s="6" t="str">
        <f t="shared" si="11"/>
        <v/>
      </c>
      <c r="O93" s="6" t="str">
        <f t="shared" si="12"/>
        <v/>
      </c>
      <c r="P93" s="6" t="str">
        <f t="shared" si="13"/>
        <v/>
      </c>
      <c r="Q93" s="6" t="str">
        <f t="shared" si="14"/>
        <v/>
      </c>
    </row>
    <row r="94" spans="13:17" x14ac:dyDescent="0.3">
      <c r="M94" s="6" t="str">
        <f t="shared" si="10"/>
        <v/>
      </c>
      <c r="N94" s="6" t="str">
        <f t="shared" si="11"/>
        <v/>
      </c>
      <c r="O94" s="6" t="str">
        <f t="shared" si="12"/>
        <v/>
      </c>
      <c r="P94" s="6" t="str">
        <f t="shared" si="13"/>
        <v/>
      </c>
      <c r="Q94" s="6" t="str">
        <f t="shared" si="14"/>
        <v/>
      </c>
    </row>
    <row r="95" spans="13:17" x14ac:dyDescent="0.3">
      <c r="M95" s="6" t="str">
        <f t="shared" si="10"/>
        <v/>
      </c>
      <c r="N95" s="6" t="str">
        <f t="shared" si="11"/>
        <v/>
      </c>
      <c r="O95" s="6" t="str">
        <f t="shared" si="12"/>
        <v/>
      </c>
      <c r="P95" s="6" t="str">
        <f t="shared" si="13"/>
        <v/>
      </c>
      <c r="Q95" s="6" t="str">
        <f t="shared" si="14"/>
        <v/>
      </c>
    </row>
    <row r="96" spans="13:17" x14ac:dyDescent="0.3">
      <c r="M96" s="6" t="str">
        <f t="shared" si="10"/>
        <v/>
      </c>
      <c r="N96" s="6" t="str">
        <f t="shared" si="11"/>
        <v/>
      </c>
      <c r="O96" s="6" t="str">
        <f t="shared" si="12"/>
        <v/>
      </c>
      <c r="P96" s="6" t="str">
        <f t="shared" si="13"/>
        <v/>
      </c>
      <c r="Q96" s="6" t="str">
        <f t="shared" si="14"/>
        <v/>
      </c>
    </row>
    <row r="97" spans="13:17" x14ac:dyDescent="0.3">
      <c r="M97" s="6" t="str">
        <f t="shared" si="10"/>
        <v/>
      </c>
      <c r="N97" s="6" t="str">
        <f t="shared" si="11"/>
        <v/>
      </c>
      <c r="O97" s="6" t="str">
        <f t="shared" si="12"/>
        <v/>
      </c>
      <c r="P97" s="6" t="str">
        <f t="shared" si="13"/>
        <v/>
      </c>
      <c r="Q97" s="6" t="str">
        <f t="shared" si="14"/>
        <v/>
      </c>
    </row>
    <row r="98" spans="13:17" x14ac:dyDescent="0.3">
      <c r="M98" s="6" t="str">
        <f t="shared" si="10"/>
        <v/>
      </c>
      <c r="N98" s="6" t="str">
        <f t="shared" si="11"/>
        <v/>
      </c>
      <c r="O98" s="6" t="str">
        <f t="shared" si="12"/>
        <v/>
      </c>
      <c r="P98" s="6" t="str">
        <f t="shared" si="13"/>
        <v/>
      </c>
      <c r="Q98" s="6" t="str">
        <f t="shared" si="14"/>
        <v/>
      </c>
    </row>
    <row r="99" spans="13:17" x14ac:dyDescent="0.3">
      <c r="M99" s="6" t="str">
        <f t="shared" si="10"/>
        <v/>
      </c>
      <c r="N99" s="6" t="str">
        <f t="shared" si="11"/>
        <v/>
      </c>
      <c r="O99" s="6" t="str">
        <f t="shared" si="12"/>
        <v/>
      </c>
      <c r="P99" s="6" t="str">
        <f t="shared" si="13"/>
        <v/>
      </c>
      <c r="Q99" s="6" t="str">
        <f t="shared" si="14"/>
        <v/>
      </c>
    </row>
    <row r="100" spans="13:17" x14ac:dyDescent="0.3">
      <c r="M100" s="6" t="str">
        <f t="shared" si="10"/>
        <v/>
      </c>
      <c r="N100" s="6" t="str">
        <f t="shared" si="11"/>
        <v/>
      </c>
      <c r="O100" s="6" t="str">
        <f t="shared" si="12"/>
        <v/>
      </c>
      <c r="P100" s="6" t="str">
        <f t="shared" si="13"/>
        <v/>
      </c>
      <c r="Q100" s="6" t="str">
        <f t="shared" si="14"/>
        <v/>
      </c>
    </row>
    <row r="101" spans="13:17" x14ac:dyDescent="0.3">
      <c r="M101" s="6" t="str">
        <f t="shared" ref="M101:M139" si="15">IF(OR(I101="",F101=""),"",IF(OR(I101&lt;=0,F101&lt;=0),"",0.95*((I101^3)/F101)^0.385))</f>
        <v/>
      </c>
      <c r="N101" s="6" t="str">
        <f t="shared" ref="N101:N139" si="16">IF(OR(B101="",I101="",G101="",D101=""),"",IF(OR(B101&lt;=0,I101&lt;=0,G101&lt;=D101),"",(4*SQRT(B101)+1.5*I101)/(0.8*SQRT(G101-D101))))</f>
        <v/>
      </c>
      <c r="O101" s="6" t="str">
        <f t="shared" ref="O101:O139" si="17">IF(OR(I101="",C101="",H101=""),"",IF(OR(I101&lt;=0,H101&lt;=0,C101&lt;=0,C101&gt;100),"",((100*((I101*1000/0.3048)^0.8)*(((1000/C101)-9)^0.7))/(1900*SQRT(H101*100)))/60))</f>
        <v/>
      </c>
      <c r="P101" s="6" t="str">
        <f t="shared" ref="P101:P139" si="18">IF(OR(I101="",H101=""),"",IF(OR(I101&lt;=0,H101&lt;=0),"",(18*(I101^0.76)/(H101^0.19))/60))</f>
        <v/>
      </c>
      <c r="Q101" s="6" t="str">
        <f t="shared" ref="Q101:Q139" si="19">IF(OR(I101="",K101=""),"",IF(OR(I101&lt;=0,K101&lt;=0),"",I101/(3.6*K101)))</f>
        <v/>
      </c>
    </row>
    <row r="102" spans="13:17" x14ac:dyDescent="0.3">
      <c r="M102" s="6" t="str">
        <f t="shared" si="15"/>
        <v/>
      </c>
      <c r="N102" s="6" t="str">
        <f t="shared" si="16"/>
        <v/>
      </c>
      <c r="O102" s="6" t="str">
        <f t="shared" si="17"/>
        <v/>
      </c>
      <c r="P102" s="6" t="str">
        <f t="shared" si="18"/>
        <v/>
      </c>
      <c r="Q102" s="6" t="str">
        <f t="shared" si="19"/>
        <v/>
      </c>
    </row>
    <row r="103" spans="13:17" x14ac:dyDescent="0.3">
      <c r="M103" s="6" t="str">
        <f t="shared" si="15"/>
        <v/>
      </c>
      <c r="N103" s="6" t="str">
        <f t="shared" si="16"/>
        <v/>
      </c>
      <c r="O103" s="6" t="str">
        <f t="shared" si="17"/>
        <v/>
      </c>
      <c r="P103" s="6" t="str">
        <f t="shared" si="18"/>
        <v/>
      </c>
      <c r="Q103" s="6" t="str">
        <f t="shared" si="19"/>
        <v/>
      </c>
    </row>
    <row r="104" spans="13:17" x14ac:dyDescent="0.3">
      <c r="M104" s="6" t="str">
        <f t="shared" si="15"/>
        <v/>
      </c>
      <c r="N104" s="6" t="str">
        <f t="shared" si="16"/>
        <v/>
      </c>
      <c r="O104" s="6" t="str">
        <f t="shared" si="17"/>
        <v/>
      </c>
      <c r="P104" s="6" t="str">
        <f t="shared" si="18"/>
        <v/>
      </c>
      <c r="Q104" s="6" t="str">
        <f t="shared" si="19"/>
        <v/>
      </c>
    </row>
    <row r="105" spans="13:17" x14ac:dyDescent="0.3">
      <c r="M105" s="6" t="str">
        <f t="shared" si="15"/>
        <v/>
      </c>
      <c r="N105" s="6" t="str">
        <f t="shared" si="16"/>
        <v/>
      </c>
      <c r="O105" s="6" t="str">
        <f t="shared" si="17"/>
        <v/>
      </c>
      <c r="P105" s="6" t="str">
        <f t="shared" si="18"/>
        <v/>
      </c>
      <c r="Q105" s="6" t="str">
        <f t="shared" si="19"/>
        <v/>
      </c>
    </row>
    <row r="106" spans="13:17" x14ac:dyDescent="0.3">
      <c r="M106" s="6" t="str">
        <f t="shared" si="15"/>
        <v/>
      </c>
      <c r="N106" s="6" t="str">
        <f t="shared" si="16"/>
        <v/>
      </c>
      <c r="O106" s="6" t="str">
        <f t="shared" si="17"/>
        <v/>
      </c>
      <c r="P106" s="6" t="str">
        <f t="shared" si="18"/>
        <v/>
      </c>
      <c r="Q106" s="6" t="str">
        <f t="shared" si="19"/>
        <v/>
      </c>
    </row>
    <row r="107" spans="13:17" x14ac:dyDescent="0.3">
      <c r="M107" s="6" t="str">
        <f t="shared" si="15"/>
        <v/>
      </c>
      <c r="N107" s="6" t="str">
        <f t="shared" si="16"/>
        <v/>
      </c>
      <c r="O107" s="6" t="str">
        <f t="shared" si="17"/>
        <v/>
      </c>
      <c r="P107" s="6" t="str">
        <f t="shared" si="18"/>
        <v/>
      </c>
      <c r="Q107" s="6" t="str">
        <f t="shared" si="19"/>
        <v/>
      </c>
    </row>
    <row r="108" spans="13:17" x14ac:dyDescent="0.3">
      <c r="M108" s="6" t="str">
        <f t="shared" si="15"/>
        <v/>
      </c>
      <c r="N108" s="6" t="str">
        <f t="shared" si="16"/>
        <v/>
      </c>
      <c r="O108" s="6" t="str">
        <f t="shared" si="17"/>
        <v/>
      </c>
      <c r="P108" s="6" t="str">
        <f t="shared" si="18"/>
        <v/>
      </c>
      <c r="Q108" s="6" t="str">
        <f t="shared" si="19"/>
        <v/>
      </c>
    </row>
    <row r="109" spans="13:17" x14ac:dyDescent="0.3">
      <c r="M109" s="6" t="str">
        <f t="shared" si="15"/>
        <v/>
      </c>
      <c r="N109" s="6" t="str">
        <f t="shared" si="16"/>
        <v/>
      </c>
      <c r="O109" s="6" t="str">
        <f t="shared" si="17"/>
        <v/>
      </c>
      <c r="P109" s="6" t="str">
        <f t="shared" si="18"/>
        <v/>
      </c>
      <c r="Q109" s="6" t="str">
        <f t="shared" si="19"/>
        <v/>
      </c>
    </row>
    <row r="110" spans="13:17" x14ac:dyDescent="0.3">
      <c r="M110" s="6" t="str">
        <f t="shared" si="15"/>
        <v/>
      </c>
      <c r="N110" s="6" t="str">
        <f t="shared" si="16"/>
        <v/>
      </c>
      <c r="O110" s="6" t="str">
        <f t="shared" si="17"/>
        <v/>
      </c>
      <c r="P110" s="6" t="str">
        <f t="shared" si="18"/>
        <v/>
      </c>
      <c r="Q110" s="6" t="str">
        <f t="shared" si="19"/>
        <v/>
      </c>
    </row>
    <row r="111" spans="13:17" x14ac:dyDescent="0.3">
      <c r="M111" s="6" t="str">
        <f t="shared" si="15"/>
        <v/>
      </c>
      <c r="N111" s="6" t="str">
        <f t="shared" si="16"/>
        <v/>
      </c>
      <c r="O111" s="6" t="str">
        <f t="shared" si="17"/>
        <v/>
      </c>
      <c r="P111" s="6" t="str">
        <f t="shared" si="18"/>
        <v/>
      </c>
      <c r="Q111" s="6" t="str">
        <f t="shared" si="19"/>
        <v/>
      </c>
    </row>
    <row r="112" spans="13:17" x14ac:dyDescent="0.3">
      <c r="M112" s="6" t="str">
        <f t="shared" si="15"/>
        <v/>
      </c>
      <c r="N112" s="6" t="str">
        <f t="shared" si="16"/>
        <v/>
      </c>
      <c r="O112" s="6" t="str">
        <f t="shared" si="17"/>
        <v/>
      </c>
      <c r="P112" s="6" t="str">
        <f t="shared" si="18"/>
        <v/>
      </c>
      <c r="Q112" s="6" t="str">
        <f t="shared" si="19"/>
        <v/>
      </c>
    </row>
    <row r="113" spans="13:17" x14ac:dyDescent="0.3">
      <c r="M113" s="6" t="str">
        <f t="shared" si="15"/>
        <v/>
      </c>
      <c r="N113" s="6" t="str">
        <f t="shared" si="16"/>
        <v/>
      </c>
      <c r="O113" s="6" t="str">
        <f t="shared" si="17"/>
        <v/>
      </c>
      <c r="P113" s="6" t="str">
        <f t="shared" si="18"/>
        <v/>
      </c>
      <c r="Q113" s="6" t="str">
        <f t="shared" si="19"/>
        <v/>
      </c>
    </row>
    <row r="114" spans="13:17" x14ac:dyDescent="0.3">
      <c r="M114" s="6" t="str">
        <f t="shared" si="15"/>
        <v/>
      </c>
      <c r="N114" s="6" t="str">
        <f t="shared" si="16"/>
        <v/>
      </c>
      <c r="O114" s="6" t="str">
        <f t="shared" si="17"/>
        <v/>
      </c>
      <c r="P114" s="6" t="str">
        <f t="shared" si="18"/>
        <v/>
      </c>
      <c r="Q114" s="6" t="str">
        <f t="shared" si="19"/>
        <v/>
      </c>
    </row>
    <row r="115" spans="13:17" x14ac:dyDescent="0.3">
      <c r="M115" s="6" t="str">
        <f t="shared" si="15"/>
        <v/>
      </c>
      <c r="N115" s="6" t="str">
        <f t="shared" si="16"/>
        <v/>
      </c>
      <c r="O115" s="6" t="str">
        <f t="shared" si="17"/>
        <v/>
      </c>
      <c r="P115" s="6" t="str">
        <f t="shared" si="18"/>
        <v/>
      </c>
      <c r="Q115" s="6" t="str">
        <f t="shared" si="19"/>
        <v/>
      </c>
    </row>
    <row r="116" spans="13:17" x14ac:dyDescent="0.3">
      <c r="M116" s="6" t="str">
        <f t="shared" si="15"/>
        <v/>
      </c>
      <c r="N116" s="6" t="str">
        <f t="shared" si="16"/>
        <v/>
      </c>
      <c r="O116" s="6" t="str">
        <f t="shared" si="17"/>
        <v/>
      </c>
      <c r="P116" s="6" t="str">
        <f t="shared" si="18"/>
        <v/>
      </c>
      <c r="Q116" s="6" t="str">
        <f t="shared" si="19"/>
        <v/>
      </c>
    </row>
    <row r="117" spans="13:17" x14ac:dyDescent="0.3">
      <c r="M117" s="6" t="str">
        <f t="shared" si="15"/>
        <v/>
      </c>
      <c r="N117" s="6" t="str">
        <f t="shared" si="16"/>
        <v/>
      </c>
      <c r="O117" s="6" t="str">
        <f t="shared" si="17"/>
        <v/>
      </c>
      <c r="P117" s="6" t="str">
        <f t="shared" si="18"/>
        <v/>
      </c>
      <c r="Q117" s="6" t="str">
        <f t="shared" si="19"/>
        <v/>
      </c>
    </row>
    <row r="118" spans="13:17" x14ac:dyDescent="0.3">
      <c r="M118" s="6" t="str">
        <f t="shared" si="15"/>
        <v/>
      </c>
      <c r="N118" s="6" t="str">
        <f t="shared" si="16"/>
        <v/>
      </c>
      <c r="O118" s="6" t="str">
        <f t="shared" si="17"/>
        <v/>
      </c>
      <c r="P118" s="6" t="str">
        <f t="shared" si="18"/>
        <v/>
      </c>
      <c r="Q118" s="6" t="str">
        <f t="shared" si="19"/>
        <v/>
      </c>
    </row>
    <row r="119" spans="13:17" x14ac:dyDescent="0.3">
      <c r="M119" s="6" t="str">
        <f t="shared" si="15"/>
        <v/>
      </c>
      <c r="N119" s="6" t="str">
        <f t="shared" si="16"/>
        <v/>
      </c>
      <c r="O119" s="6" t="str">
        <f t="shared" si="17"/>
        <v/>
      </c>
      <c r="P119" s="6" t="str">
        <f t="shared" si="18"/>
        <v/>
      </c>
      <c r="Q119" s="6" t="str">
        <f t="shared" si="19"/>
        <v/>
      </c>
    </row>
    <row r="120" spans="13:17" x14ac:dyDescent="0.3">
      <c r="M120" s="6" t="str">
        <f t="shared" si="15"/>
        <v/>
      </c>
      <c r="N120" s="6" t="str">
        <f t="shared" si="16"/>
        <v/>
      </c>
      <c r="O120" s="6" t="str">
        <f t="shared" si="17"/>
        <v/>
      </c>
      <c r="P120" s="6" t="str">
        <f t="shared" si="18"/>
        <v/>
      </c>
      <c r="Q120" s="6" t="str">
        <f t="shared" si="19"/>
        <v/>
      </c>
    </row>
    <row r="121" spans="13:17" x14ac:dyDescent="0.3">
      <c r="M121" s="6" t="str">
        <f t="shared" si="15"/>
        <v/>
      </c>
      <c r="N121" s="6" t="str">
        <f t="shared" si="16"/>
        <v/>
      </c>
      <c r="O121" s="6" t="str">
        <f t="shared" si="17"/>
        <v/>
      </c>
      <c r="P121" s="6" t="str">
        <f t="shared" si="18"/>
        <v/>
      </c>
      <c r="Q121" s="6" t="str">
        <f t="shared" si="19"/>
        <v/>
      </c>
    </row>
    <row r="122" spans="13:17" x14ac:dyDescent="0.3">
      <c r="M122" s="6" t="str">
        <f t="shared" si="15"/>
        <v/>
      </c>
      <c r="N122" s="6" t="str">
        <f t="shared" si="16"/>
        <v/>
      </c>
      <c r="O122" s="6" t="str">
        <f t="shared" si="17"/>
        <v/>
      </c>
      <c r="P122" s="6" t="str">
        <f t="shared" si="18"/>
        <v/>
      </c>
      <c r="Q122" s="6" t="str">
        <f t="shared" si="19"/>
        <v/>
      </c>
    </row>
    <row r="123" spans="13:17" x14ac:dyDescent="0.3">
      <c r="M123" s="6" t="str">
        <f t="shared" si="15"/>
        <v/>
      </c>
      <c r="N123" s="6" t="str">
        <f t="shared" si="16"/>
        <v/>
      </c>
      <c r="O123" s="6" t="str">
        <f t="shared" si="17"/>
        <v/>
      </c>
      <c r="P123" s="6" t="str">
        <f t="shared" si="18"/>
        <v/>
      </c>
      <c r="Q123" s="6" t="str">
        <f t="shared" si="19"/>
        <v/>
      </c>
    </row>
    <row r="124" spans="13:17" x14ac:dyDescent="0.3">
      <c r="M124" s="6" t="str">
        <f t="shared" si="15"/>
        <v/>
      </c>
      <c r="N124" s="6" t="str">
        <f t="shared" si="16"/>
        <v/>
      </c>
      <c r="O124" s="6" t="str">
        <f t="shared" si="17"/>
        <v/>
      </c>
      <c r="P124" s="6" t="str">
        <f t="shared" si="18"/>
        <v/>
      </c>
      <c r="Q124" s="6" t="str">
        <f t="shared" si="19"/>
        <v/>
      </c>
    </row>
    <row r="125" spans="13:17" x14ac:dyDescent="0.3">
      <c r="M125" s="6" t="str">
        <f t="shared" si="15"/>
        <v/>
      </c>
      <c r="N125" s="6" t="str">
        <f t="shared" si="16"/>
        <v/>
      </c>
      <c r="O125" s="6" t="str">
        <f t="shared" si="17"/>
        <v/>
      </c>
      <c r="P125" s="6" t="str">
        <f t="shared" si="18"/>
        <v/>
      </c>
      <c r="Q125" s="6" t="str">
        <f t="shared" si="19"/>
        <v/>
      </c>
    </row>
    <row r="126" spans="13:17" x14ac:dyDescent="0.3">
      <c r="M126" s="6" t="str">
        <f t="shared" si="15"/>
        <v/>
      </c>
      <c r="N126" s="6" t="str">
        <f t="shared" si="16"/>
        <v/>
      </c>
      <c r="O126" s="6" t="str">
        <f t="shared" si="17"/>
        <v/>
      </c>
      <c r="P126" s="6" t="str">
        <f t="shared" si="18"/>
        <v/>
      </c>
      <c r="Q126" s="6" t="str">
        <f t="shared" si="19"/>
        <v/>
      </c>
    </row>
    <row r="127" spans="13:17" x14ac:dyDescent="0.3">
      <c r="M127" s="6" t="str">
        <f t="shared" si="15"/>
        <v/>
      </c>
      <c r="N127" s="6" t="str">
        <f t="shared" si="16"/>
        <v/>
      </c>
      <c r="O127" s="6" t="str">
        <f t="shared" si="17"/>
        <v/>
      </c>
      <c r="P127" s="6" t="str">
        <f t="shared" si="18"/>
        <v/>
      </c>
      <c r="Q127" s="6" t="str">
        <f t="shared" si="19"/>
        <v/>
      </c>
    </row>
    <row r="128" spans="13:17" x14ac:dyDescent="0.3">
      <c r="M128" s="6" t="str">
        <f t="shared" si="15"/>
        <v/>
      </c>
      <c r="N128" s="6" t="str">
        <f t="shared" si="16"/>
        <v/>
      </c>
      <c r="O128" s="6" t="str">
        <f t="shared" si="17"/>
        <v/>
      </c>
      <c r="P128" s="6" t="str">
        <f t="shared" si="18"/>
        <v/>
      </c>
      <c r="Q128" s="6" t="str">
        <f t="shared" si="19"/>
        <v/>
      </c>
    </row>
    <row r="129" spans="13:17" x14ac:dyDescent="0.3">
      <c r="M129" s="6" t="str">
        <f t="shared" si="15"/>
        <v/>
      </c>
      <c r="N129" s="6" t="str">
        <f t="shared" si="16"/>
        <v/>
      </c>
      <c r="O129" s="6" t="str">
        <f t="shared" si="17"/>
        <v/>
      </c>
      <c r="P129" s="6" t="str">
        <f t="shared" si="18"/>
        <v/>
      </c>
      <c r="Q129" s="6" t="str">
        <f t="shared" si="19"/>
        <v/>
      </c>
    </row>
    <row r="130" spans="13:17" x14ac:dyDescent="0.3">
      <c r="M130" s="6" t="str">
        <f t="shared" si="15"/>
        <v/>
      </c>
      <c r="N130" s="6" t="str">
        <f t="shared" si="16"/>
        <v/>
      </c>
      <c r="O130" s="6" t="str">
        <f t="shared" si="17"/>
        <v/>
      </c>
      <c r="P130" s="6" t="str">
        <f t="shared" si="18"/>
        <v/>
      </c>
      <c r="Q130" s="6" t="str">
        <f t="shared" si="19"/>
        <v/>
      </c>
    </row>
    <row r="131" spans="13:17" x14ac:dyDescent="0.3">
      <c r="M131" s="6" t="str">
        <f t="shared" si="15"/>
        <v/>
      </c>
      <c r="N131" s="6" t="str">
        <f t="shared" si="16"/>
        <v/>
      </c>
      <c r="O131" s="6" t="str">
        <f t="shared" si="17"/>
        <v/>
      </c>
      <c r="P131" s="6" t="str">
        <f t="shared" si="18"/>
        <v/>
      </c>
      <c r="Q131" s="6" t="str">
        <f t="shared" si="19"/>
        <v/>
      </c>
    </row>
    <row r="132" spans="13:17" x14ac:dyDescent="0.3">
      <c r="M132" s="6" t="str">
        <f t="shared" si="15"/>
        <v/>
      </c>
      <c r="N132" s="6" t="str">
        <f t="shared" si="16"/>
        <v/>
      </c>
      <c r="O132" s="6" t="str">
        <f t="shared" si="17"/>
        <v/>
      </c>
      <c r="P132" s="6" t="str">
        <f t="shared" si="18"/>
        <v/>
      </c>
      <c r="Q132" s="6" t="str">
        <f t="shared" si="19"/>
        <v/>
      </c>
    </row>
    <row r="133" spans="13:17" x14ac:dyDescent="0.3">
      <c r="M133" s="6" t="str">
        <f t="shared" si="15"/>
        <v/>
      </c>
      <c r="N133" s="6" t="str">
        <f t="shared" si="16"/>
        <v/>
      </c>
      <c r="O133" s="6" t="str">
        <f t="shared" si="17"/>
        <v/>
      </c>
      <c r="P133" s="6" t="str">
        <f t="shared" si="18"/>
        <v/>
      </c>
      <c r="Q133" s="6" t="str">
        <f t="shared" si="19"/>
        <v/>
      </c>
    </row>
    <row r="134" spans="13:17" x14ac:dyDescent="0.3">
      <c r="M134" s="6" t="str">
        <f t="shared" si="15"/>
        <v/>
      </c>
      <c r="N134" s="6" t="str">
        <f t="shared" si="16"/>
        <v/>
      </c>
      <c r="O134" s="6" t="str">
        <f t="shared" si="17"/>
        <v/>
      </c>
      <c r="P134" s="6" t="str">
        <f t="shared" si="18"/>
        <v/>
      </c>
      <c r="Q134" s="6" t="str">
        <f t="shared" si="19"/>
        <v/>
      </c>
    </row>
    <row r="135" spans="13:17" x14ac:dyDescent="0.3">
      <c r="M135" s="6" t="str">
        <f t="shared" si="15"/>
        <v/>
      </c>
      <c r="N135" s="6" t="str">
        <f t="shared" si="16"/>
        <v/>
      </c>
      <c r="O135" s="6" t="str">
        <f t="shared" si="17"/>
        <v/>
      </c>
      <c r="P135" s="6" t="str">
        <f t="shared" si="18"/>
        <v/>
      </c>
      <c r="Q135" s="6" t="str">
        <f t="shared" si="19"/>
        <v/>
      </c>
    </row>
    <row r="136" spans="13:17" x14ac:dyDescent="0.3">
      <c r="M136" s="6" t="str">
        <f t="shared" si="15"/>
        <v/>
      </c>
      <c r="N136" s="6" t="str">
        <f t="shared" si="16"/>
        <v/>
      </c>
      <c r="O136" s="6" t="str">
        <f t="shared" si="17"/>
        <v/>
      </c>
      <c r="P136" s="6" t="str">
        <f t="shared" si="18"/>
        <v/>
      </c>
      <c r="Q136" s="6" t="str">
        <f t="shared" si="19"/>
        <v/>
      </c>
    </row>
    <row r="137" spans="13:17" x14ac:dyDescent="0.3">
      <c r="M137" s="6" t="str">
        <f t="shared" si="15"/>
        <v/>
      </c>
      <c r="N137" s="6" t="str">
        <f t="shared" si="16"/>
        <v/>
      </c>
      <c r="O137" s="6" t="str">
        <f t="shared" si="17"/>
        <v/>
      </c>
      <c r="P137" s="6" t="str">
        <f t="shared" si="18"/>
        <v/>
      </c>
      <c r="Q137" s="6" t="str">
        <f t="shared" si="19"/>
        <v/>
      </c>
    </row>
    <row r="138" spans="13:17" x14ac:dyDescent="0.3">
      <c r="M138" s="6" t="str">
        <f t="shared" si="15"/>
        <v/>
      </c>
      <c r="N138" s="6" t="str">
        <f t="shared" si="16"/>
        <v/>
      </c>
      <c r="O138" s="6" t="str">
        <f t="shared" si="17"/>
        <v/>
      </c>
      <c r="P138" s="6" t="str">
        <f t="shared" si="18"/>
        <v/>
      </c>
      <c r="Q138" s="6" t="str">
        <f t="shared" si="19"/>
        <v/>
      </c>
    </row>
    <row r="139" spans="13:17" x14ac:dyDescent="0.3">
      <c r="M139" s="6" t="str">
        <f t="shared" si="15"/>
        <v/>
      </c>
      <c r="N139" s="6" t="str">
        <f t="shared" si="16"/>
        <v/>
      </c>
      <c r="O139" s="6" t="str">
        <f t="shared" si="17"/>
        <v/>
      </c>
      <c r="P139" s="6" t="str">
        <f t="shared" si="18"/>
        <v/>
      </c>
      <c r="Q139" s="6" t="str">
        <f t="shared" si="19"/>
        <v/>
      </c>
    </row>
    <row r="140" spans="13:17" x14ac:dyDescent="0.3">
      <c r="M140" s="6" t="str">
        <f t="shared" ref="M140:M203" si="20">IF(OR(I140="",F140=""),"",IF(OR(I140&lt;=0,F140&lt;=0),"",0.95*((I140^3)/F140)^0.385))</f>
        <v/>
      </c>
      <c r="N140" s="6" t="str">
        <f t="shared" ref="N140:N203" si="21">IF(OR(B140="",I140="",G140="",D140=""),"",IF(OR(B140&lt;=0,I140&lt;=0,G140&lt;=D140),"",(4*SQRT(B140)+1.5*I140)/(0.8*SQRT(G140-D140))))</f>
        <v/>
      </c>
      <c r="O140" s="6" t="str">
        <f t="shared" ref="O140:O203" si="22">IF(OR(I140="",C140="",H140=""),"",IF(OR(I140&lt;=0,H140&lt;=0,C140&lt;=0,C140&gt;100),"",((100*((I140*1000/0.3048)^0.8)*(((1000/C140)-9)^0.7))/(1900*SQRT(H140*100)))/60))</f>
        <v/>
      </c>
      <c r="P140" s="6" t="str">
        <f t="shared" ref="P140:P203" si="23">IF(OR(I140="",H140=""),"",IF(OR(I140&lt;=0,H140&lt;=0),"",(18*(I140^0.76)/(H140^0.19))/60))</f>
        <v/>
      </c>
      <c r="Q140" s="6" t="str">
        <f t="shared" ref="Q140:Q203" si="24">IF(OR(I140="",K140=""),"",IF(OR(I140&lt;=0,K140&lt;=0),"",I140/(3.6*K140)))</f>
        <v/>
      </c>
    </row>
    <row r="141" spans="13:17" x14ac:dyDescent="0.3">
      <c r="M141" s="6" t="str">
        <f t="shared" si="20"/>
        <v/>
      </c>
      <c r="N141" s="6" t="str">
        <f t="shared" si="21"/>
        <v/>
      </c>
      <c r="O141" s="6" t="str">
        <f t="shared" si="22"/>
        <v/>
      </c>
      <c r="P141" s="6" t="str">
        <f t="shared" si="23"/>
        <v/>
      </c>
      <c r="Q141" s="6" t="str">
        <f t="shared" si="24"/>
        <v/>
      </c>
    </row>
    <row r="142" spans="13:17" x14ac:dyDescent="0.3">
      <c r="M142" s="6" t="str">
        <f t="shared" si="20"/>
        <v/>
      </c>
      <c r="N142" s="6" t="str">
        <f t="shared" si="21"/>
        <v/>
      </c>
      <c r="O142" s="6" t="str">
        <f t="shared" si="22"/>
        <v/>
      </c>
      <c r="P142" s="6" t="str">
        <f t="shared" si="23"/>
        <v/>
      </c>
      <c r="Q142" s="6" t="str">
        <f t="shared" si="24"/>
        <v/>
      </c>
    </row>
    <row r="143" spans="13:17" x14ac:dyDescent="0.3">
      <c r="M143" s="6" t="str">
        <f t="shared" si="20"/>
        <v/>
      </c>
      <c r="N143" s="6" t="str">
        <f t="shared" si="21"/>
        <v/>
      </c>
      <c r="O143" s="6" t="str">
        <f t="shared" si="22"/>
        <v/>
      </c>
      <c r="P143" s="6" t="str">
        <f t="shared" si="23"/>
        <v/>
      </c>
      <c r="Q143" s="6" t="str">
        <f t="shared" si="24"/>
        <v/>
      </c>
    </row>
    <row r="144" spans="13:17" x14ac:dyDescent="0.3">
      <c r="M144" s="6" t="str">
        <f t="shared" si="20"/>
        <v/>
      </c>
      <c r="N144" s="6" t="str">
        <f t="shared" si="21"/>
        <v/>
      </c>
      <c r="O144" s="6" t="str">
        <f t="shared" si="22"/>
        <v/>
      </c>
      <c r="P144" s="6" t="str">
        <f t="shared" si="23"/>
        <v/>
      </c>
      <c r="Q144" s="6" t="str">
        <f t="shared" si="24"/>
        <v/>
      </c>
    </row>
    <row r="145" spans="13:17" x14ac:dyDescent="0.3">
      <c r="M145" s="6" t="str">
        <f t="shared" si="20"/>
        <v/>
      </c>
      <c r="N145" s="6" t="str">
        <f t="shared" si="21"/>
        <v/>
      </c>
      <c r="O145" s="6" t="str">
        <f t="shared" si="22"/>
        <v/>
      </c>
      <c r="P145" s="6" t="str">
        <f t="shared" si="23"/>
        <v/>
      </c>
      <c r="Q145" s="6" t="str">
        <f t="shared" si="24"/>
        <v/>
      </c>
    </row>
    <row r="146" spans="13:17" x14ac:dyDescent="0.3">
      <c r="M146" s="6" t="str">
        <f t="shared" si="20"/>
        <v/>
      </c>
      <c r="N146" s="6" t="str">
        <f t="shared" si="21"/>
        <v/>
      </c>
      <c r="O146" s="6" t="str">
        <f t="shared" si="22"/>
        <v/>
      </c>
      <c r="P146" s="6" t="str">
        <f t="shared" si="23"/>
        <v/>
      </c>
      <c r="Q146" s="6" t="str">
        <f t="shared" si="24"/>
        <v/>
      </c>
    </row>
    <row r="147" spans="13:17" x14ac:dyDescent="0.3">
      <c r="M147" s="6" t="str">
        <f t="shared" si="20"/>
        <v/>
      </c>
      <c r="N147" s="6" t="str">
        <f t="shared" si="21"/>
        <v/>
      </c>
      <c r="O147" s="6" t="str">
        <f t="shared" si="22"/>
        <v/>
      </c>
      <c r="P147" s="6" t="str">
        <f t="shared" si="23"/>
        <v/>
      </c>
      <c r="Q147" s="6" t="str">
        <f t="shared" si="24"/>
        <v/>
      </c>
    </row>
    <row r="148" spans="13:17" x14ac:dyDescent="0.3">
      <c r="M148" s="6" t="str">
        <f t="shared" si="20"/>
        <v/>
      </c>
      <c r="N148" s="6" t="str">
        <f t="shared" si="21"/>
        <v/>
      </c>
      <c r="O148" s="6" t="str">
        <f t="shared" si="22"/>
        <v/>
      </c>
      <c r="P148" s="6" t="str">
        <f t="shared" si="23"/>
        <v/>
      </c>
      <c r="Q148" s="6" t="str">
        <f t="shared" si="24"/>
        <v/>
      </c>
    </row>
    <row r="149" spans="13:17" x14ac:dyDescent="0.3">
      <c r="M149" s="6" t="str">
        <f t="shared" si="20"/>
        <v/>
      </c>
      <c r="N149" s="6" t="str">
        <f t="shared" si="21"/>
        <v/>
      </c>
      <c r="O149" s="6" t="str">
        <f t="shared" si="22"/>
        <v/>
      </c>
      <c r="P149" s="6" t="str">
        <f t="shared" si="23"/>
        <v/>
      </c>
      <c r="Q149" s="6" t="str">
        <f t="shared" si="24"/>
        <v/>
      </c>
    </row>
    <row r="150" spans="13:17" x14ac:dyDescent="0.3">
      <c r="M150" s="6" t="str">
        <f t="shared" si="20"/>
        <v/>
      </c>
      <c r="N150" s="6" t="str">
        <f t="shared" si="21"/>
        <v/>
      </c>
      <c r="O150" s="6" t="str">
        <f t="shared" si="22"/>
        <v/>
      </c>
      <c r="P150" s="6" t="str">
        <f t="shared" si="23"/>
        <v/>
      </c>
      <c r="Q150" s="6" t="str">
        <f t="shared" si="24"/>
        <v/>
      </c>
    </row>
    <row r="151" spans="13:17" x14ac:dyDescent="0.3">
      <c r="M151" s="6" t="str">
        <f t="shared" si="20"/>
        <v/>
      </c>
      <c r="N151" s="6" t="str">
        <f t="shared" si="21"/>
        <v/>
      </c>
      <c r="O151" s="6" t="str">
        <f t="shared" si="22"/>
        <v/>
      </c>
      <c r="P151" s="6" t="str">
        <f t="shared" si="23"/>
        <v/>
      </c>
      <c r="Q151" s="6" t="str">
        <f t="shared" si="24"/>
        <v/>
      </c>
    </row>
    <row r="152" spans="13:17" x14ac:dyDescent="0.3">
      <c r="M152" s="6" t="str">
        <f t="shared" si="20"/>
        <v/>
      </c>
      <c r="N152" s="6" t="str">
        <f t="shared" si="21"/>
        <v/>
      </c>
      <c r="O152" s="6" t="str">
        <f t="shared" si="22"/>
        <v/>
      </c>
      <c r="P152" s="6" t="str">
        <f t="shared" si="23"/>
        <v/>
      </c>
      <c r="Q152" s="6" t="str">
        <f t="shared" si="24"/>
        <v/>
      </c>
    </row>
    <row r="153" spans="13:17" x14ac:dyDescent="0.3">
      <c r="M153" s="6" t="str">
        <f t="shared" si="20"/>
        <v/>
      </c>
      <c r="N153" s="6" t="str">
        <f t="shared" si="21"/>
        <v/>
      </c>
      <c r="O153" s="6" t="str">
        <f t="shared" si="22"/>
        <v/>
      </c>
      <c r="P153" s="6" t="str">
        <f t="shared" si="23"/>
        <v/>
      </c>
      <c r="Q153" s="6" t="str">
        <f t="shared" si="24"/>
        <v/>
      </c>
    </row>
    <row r="154" spans="13:17" x14ac:dyDescent="0.3">
      <c r="M154" s="6" t="str">
        <f t="shared" si="20"/>
        <v/>
      </c>
      <c r="N154" s="6" t="str">
        <f t="shared" si="21"/>
        <v/>
      </c>
      <c r="O154" s="6" t="str">
        <f t="shared" si="22"/>
        <v/>
      </c>
      <c r="P154" s="6" t="str">
        <f t="shared" si="23"/>
        <v/>
      </c>
      <c r="Q154" s="6" t="str">
        <f t="shared" si="24"/>
        <v/>
      </c>
    </row>
    <row r="155" spans="13:17" x14ac:dyDescent="0.3">
      <c r="M155" s="6" t="str">
        <f t="shared" si="20"/>
        <v/>
      </c>
      <c r="N155" s="6" t="str">
        <f t="shared" si="21"/>
        <v/>
      </c>
      <c r="O155" s="6" t="str">
        <f t="shared" si="22"/>
        <v/>
      </c>
      <c r="P155" s="6" t="str">
        <f t="shared" si="23"/>
        <v/>
      </c>
      <c r="Q155" s="6" t="str">
        <f t="shared" si="24"/>
        <v/>
      </c>
    </row>
    <row r="156" spans="13:17" x14ac:dyDescent="0.3">
      <c r="M156" s="6" t="str">
        <f t="shared" si="20"/>
        <v/>
      </c>
      <c r="N156" s="6" t="str">
        <f t="shared" si="21"/>
        <v/>
      </c>
      <c r="O156" s="6" t="str">
        <f t="shared" si="22"/>
        <v/>
      </c>
      <c r="P156" s="6" t="str">
        <f t="shared" si="23"/>
        <v/>
      </c>
      <c r="Q156" s="6" t="str">
        <f t="shared" si="24"/>
        <v/>
      </c>
    </row>
    <row r="157" spans="13:17" x14ac:dyDescent="0.3">
      <c r="M157" s="6" t="str">
        <f t="shared" si="20"/>
        <v/>
      </c>
      <c r="N157" s="6" t="str">
        <f t="shared" si="21"/>
        <v/>
      </c>
      <c r="O157" s="6" t="str">
        <f t="shared" si="22"/>
        <v/>
      </c>
      <c r="P157" s="6" t="str">
        <f t="shared" si="23"/>
        <v/>
      </c>
      <c r="Q157" s="6" t="str">
        <f t="shared" si="24"/>
        <v/>
      </c>
    </row>
    <row r="158" spans="13:17" x14ac:dyDescent="0.3">
      <c r="M158" s="6" t="str">
        <f t="shared" si="20"/>
        <v/>
      </c>
      <c r="N158" s="6" t="str">
        <f t="shared" si="21"/>
        <v/>
      </c>
      <c r="O158" s="6" t="str">
        <f t="shared" si="22"/>
        <v/>
      </c>
      <c r="P158" s="6" t="str">
        <f t="shared" si="23"/>
        <v/>
      </c>
      <c r="Q158" s="6" t="str">
        <f t="shared" si="24"/>
        <v/>
      </c>
    </row>
    <row r="159" spans="13:17" x14ac:dyDescent="0.3">
      <c r="M159" s="6" t="str">
        <f t="shared" si="20"/>
        <v/>
      </c>
      <c r="N159" s="6" t="str">
        <f t="shared" si="21"/>
        <v/>
      </c>
      <c r="O159" s="6" t="str">
        <f t="shared" si="22"/>
        <v/>
      </c>
      <c r="P159" s="6" t="str">
        <f t="shared" si="23"/>
        <v/>
      </c>
      <c r="Q159" s="6" t="str">
        <f t="shared" si="24"/>
        <v/>
      </c>
    </row>
    <row r="160" spans="13:17" x14ac:dyDescent="0.3">
      <c r="M160" s="6" t="str">
        <f t="shared" si="20"/>
        <v/>
      </c>
      <c r="N160" s="6" t="str">
        <f t="shared" si="21"/>
        <v/>
      </c>
      <c r="O160" s="6" t="str">
        <f t="shared" si="22"/>
        <v/>
      </c>
      <c r="P160" s="6" t="str">
        <f t="shared" si="23"/>
        <v/>
      </c>
      <c r="Q160" s="6" t="str">
        <f t="shared" si="24"/>
        <v/>
      </c>
    </row>
    <row r="161" spans="13:17" x14ac:dyDescent="0.3">
      <c r="M161" s="6" t="str">
        <f t="shared" si="20"/>
        <v/>
      </c>
      <c r="N161" s="6" t="str">
        <f t="shared" si="21"/>
        <v/>
      </c>
      <c r="O161" s="6" t="str">
        <f t="shared" si="22"/>
        <v/>
      </c>
      <c r="P161" s="6" t="str">
        <f t="shared" si="23"/>
        <v/>
      </c>
      <c r="Q161" s="6" t="str">
        <f t="shared" si="24"/>
        <v/>
      </c>
    </row>
    <row r="162" spans="13:17" x14ac:dyDescent="0.3">
      <c r="M162" s="6" t="str">
        <f t="shared" si="20"/>
        <v/>
      </c>
      <c r="N162" s="6" t="str">
        <f t="shared" si="21"/>
        <v/>
      </c>
      <c r="O162" s="6" t="str">
        <f t="shared" si="22"/>
        <v/>
      </c>
      <c r="P162" s="6" t="str">
        <f t="shared" si="23"/>
        <v/>
      </c>
      <c r="Q162" s="6" t="str">
        <f t="shared" si="24"/>
        <v/>
      </c>
    </row>
    <row r="163" spans="13:17" x14ac:dyDescent="0.3">
      <c r="M163" s="6" t="str">
        <f t="shared" si="20"/>
        <v/>
      </c>
      <c r="N163" s="6" t="str">
        <f t="shared" si="21"/>
        <v/>
      </c>
      <c r="O163" s="6" t="str">
        <f t="shared" si="22"/>
        <v/>
      </c>
      <c r="P163" s="6" t="str">
        <f t="shared" si="23"/>
        <v/>
      </c>
      <c r="Q163" s="6" t="str">
        <f t="shared" si="24"/>
        <v/>
      </c>
    </row>
    <row r="164" spans="13:17" x14ac:dyDescent="0.3">
      <c r="M164" s="6" t="str">
        <f t="shared" si="20"/>
        <v/>
      </c>
      <c r="N164" s="6" t="str">
        <f t="shared" si="21"/>
        <v/>
      </c>
      <c r="O164" s="6" t="str">
        <f t="shared" si="22"/>
        <v/>
      </c>
      <c r="P164" s="6" t="str">
        <f t="shared" si="23"/>
        <v/>
      </c>
      <c r="Q164" s="6" t="str">
        <f t="shared" si="24"/>
        <v/>
      </c>
    </row>
    <row r="165" spans="13:17" x14ac:dyDescent="0.3">
      <c r="M165" s="6" t="str">
        <f t="shared" si="20"/>
        <v/>
      </c>
      <c r="N165" s="6" t="str">
        <f t="shared" si="21"/>
        <v/>
      </c>
      <c r="O165" s="6" t="str">
        <f t="shared" si="22"/>
        <v/>
      </c>
      <c r="P165" s="6" t="str">
        <f t="shared" si="23"/>
        <v/>
      </c>
      <c r="Q165" s="6" t="str">
        <f t="shared" si="24"/>
        <v/>
      </c>
    </row>
    <row r="166" spans="13:17" x14ac:dyDescent="0.3">
      <c r="M166" s="6" t="str">
        <f t="shared" si="20"/>
        <v/>
      </c>
      <c r="N166" s="6" t="str">
        <f t="shared" si="21"/>
        <v/>
      </c>
      <c r="O166" s="6" t="str">
        <f t="shared" si="22"/>
        <v/>
      </c>
      <c r="P166" s="6" t="str">
        <f t="shared" si="23"/>
        <v/>
      </c>
      <c r="Q166" s="6" t="str">
        <f t="shared" si="24"/>
        <v/>
      </c>
    </row>
    <row r="167" spans="13:17" x14ac:dyDescent="0.3">
      <c r="M167" s="6" t="str">
        <f t="shared" si="20"/>
        <v/>
      </c>
      <c r="N167" s="6" t="str">
        <f t="shared" si="21"/>
        <v/>
      </c>
      <c r="O167" s="6" t="str">
        <f t="shared" si="22"/>
        <v/>
      </c>
      <c r="P167" s="6" t="str">
        <f t="shared" si="23"/>
        <v/>
      </c>
      <c r="Q167" s="6" t="str">
        <f t="shared" si="24"/>
        <v/>
      </c>
    </row>
    <row r="168" spans="13:17" x14ac:dyDescent="0.3">
      <c r="M168" s="6" t="str">
        <f t="shared" si="20"/>
        <v/>
      </c>
      <c r="N168" s="6" t="str">
        <f t="shared" si="21"/>
        <v/>
      </c>
      <c r="O168" s="6" t="str">
        <f t="shared" si="22"/>
        <v/>
      </c>
      <c r="P168" s="6" t="str">
        <f t="shared" si="23"/>
        <v/>
      </c>
      <c r="Q168" s="6" t="str">
        <f t="shared" si="24"/>
        <v/>
      </c>
    </row>
    <row r="169" spans="13:17" x14ac:dyDescent="0.3">
      <c r="M169" s="6" t="str">
        <f t="shared" si="20"/>
        <v/>
      </c>
      <c r="N169" s="6" t="str">
        <f t="shared" si="21"/>
        <v/>
      </c>
      <c r="O169" s="6" t="str">
        <f t="shared" si="22"/>
        <v/>
      </c>
      <c r="P169" s="6" t="str">
        <f t="shared" si="23"/>
        <v/>
      </c>
      <c r="Q169" s="6" t="str">
        <f t="shared" si="24"/>
        <v/>
      </c>
    </row>
    <row r="170" spans="13:17" x14ac:dyDescent="0.3">
      <c r="M170" s="6" t="str">
        <f t="shared" si="20"/>
        <v/>
      </c>
      <c r="N170" s="6" t="str">
        <f t="shared" si="21"/>
        <v/>
      </c>
      <c r="O170" s="6" t="str">
        <f t="shared" si="22"/>
        <v/>
      </c>
      <c r="P170" s="6" t="str">
        <f t="shared" si="23"/>
        <v/>
      </c>
      <c r="Q170" s="6" t="str">
        <f t="shared" si="24"/>
        <v/>
      </c>
    </row>
    <row r="171" spans="13:17" x14ac:dyDescent="0.3">
      <c r="M171" s="6" t="str">
        <f t="shared" si="20"/>
        <v/>
      </c>
      <c r="N171" s="6" t="str">
        <f t="shared" si="21"/>
        <v/>
      </c>
      <c r="O171" s="6" t="str">
        <f t="shared" si="22"/>
        <v/>
      </c>
      <c r="P171" s="6" t="str">
        <f t="shared" si="23"/>
        <v/>
      </c>
      <c r="Q171" s="6" t="str">
        <f t="shared" si="24"/>
        <v/>
      </c>
    </row>
    <row r="172" spans="13:17" x14ac:dyDescent="0.3">
      <c r="M172" s="6" t="str">
        <f t="shared" si="20"/>
        <v/>
      </c>
      <c r="N172" s="6" t="str">
        <f t="shared" si="21"/>
        <v/>
      </c>
      <c r="O172" s="6" t="str">
        <f t="shared" si="22"/>
        <v/>
      </c>
      <c r="P172" s="6" t="str">
        <f t="shared" si="23"/>
        <v/>
      </c>
      <c r="Q172" s="6" t="str">
        <f t="shared" si="24"/>
        <v/>
      </c>
    </row>
    <row r="173" spans="13:17" x14ac:dyDescent="0.3">
      <c r="M173" s="6" t="str">
        <f t="shared" si="20"/>
        <v/>
      </c>
      <c r="N173" s="6" t="str">
        <f t="shared" si="21"/>
        <v/>
      </c>
      <c r="O173" s="6" t="str">
        <f t="shared" si="22"/>
        <v/>
      </c>
      <c r="P173" s="6" t="str">
        <f t="shared" si="23"/>
        <v/>
      </c>
      <c r="Q173" s="6" t="str">
        <f t="shared" si="24"/>
        <v/>
      </c>
    </row>
    <row r="174" spans="13:17" x14ac:dyDescent="0.3">
      <c r="M174" s="6" t="str">
        <f t="shared" si="20"/>
        <v/>
      </c>
      <c r="N174" s="6" t="str">
        <f t="shared" si="21"/>
        <v/>
      </c>
      <c r="O174" s="6" t="str">
        <f t="shared" si="22"/>
        <v/>
      </c>
      <c r="P174" s="6" t="str">
        <f t="shared" si="23"/>
        <v/>
      </c>
      <c r="Q174" s="6" t="str">
        <f t="shared" si="24"/>
        <v/>
      </c>
    </row>
    <row r="175" spans="13:17" x14ac:dyDescent="0.3">
      <c r="M175" s="6" t="str">
        <f t="shared" si="20"/>
        <v/>
      </c>
      <c r="N175" s="6" t="str">
        <f t="shared" si="21"/>
        <v/>
      </c>
      <c r="O175" s="6" t="str">
        <f t="shared" si="22"/>
        <v/>
      </c>
      <c r="P175" s="6" t="str">
        <f t="shared" si="23"/>
        <v/>
      </c>
      <c r="Q175" s="6" t="str">
        <f t="shared" si="24"/>
        <v/>
      </c>
    </row>
    <row r="176" spans="13:17" x14ac:dyDescent="0.3">
      <c r="M176" s="6" t="str">
        <f t="shared" si="20"/>
        <v/>
      </c>
      <c r="N176" s="6" t="str">
        <f t="shared" si="21"/>
        <v/>
      </c>
      <c r="O176" s="6" t="str">
        <f t="shared" si="22"/>
        <v/>
      </c>
      <c r="P176" s="6" t="str">
        <f t="shared" si="23"/>
        <v/>
      </c>
      <c r="Q176" s="6" t="str">
        <f t="shared" si="24"/>
        <v/>
      </c>
    </row>
    <row r="177" spans="13:17" x14ac:dyDescent="0.3">
      <c r="M177" s="6" t="str">
        <f t="shared" si="20"/>
        <v/>
      </c>
      <c r="N177" s="6" t="str">
        <f t="shared" si="21"/>
        <v/>
      </c>
      <c r="O177" s="6" t="str">
        <f t="shared" si="22"/>
        <v/>
      </c>
      <c r="P177" s="6" t="str">
        <f t="shared" si="23"/>
        <v/>
      </c>
      <c r="Q177" s="6" t="str">
        <f t="shared" si="24"/>
        <v/>
      </c>
    </row>
    <row r="178" spans="13:17" x14ac:dyDescent="0.3">
      <c r="M178" s="6" t="str">
        <f t="shared" si="20"/>
        <v/>
      </c>
      <c r="N178" s="6" t="str">
        <f t="shared" si="21"/>
        <v/>
      </c>
      <c r="O178" s="6" t="str">
        <f t="shared" si="22"/>
        <v/>
      </c>
      <c r="P178" s="6" t="str">
        <f t="shared" si="23"/>
        <v/>
      </c>
      <c r="Q178" s="6" t="str">
        <f t="shared" si="24"/>
        <v/>
      </c>
    </row>
    <row r="179" spans="13:17" x14ac:dyDescent="0.3">
      <c r="M179" s="6" t="str">
        <f t="shared" si="20"/>
        <v/>
      </c>
      <c r="N179" s="6" t="str">
        <f t="shared" si="21"/>
        <v/>
      </c>
      <c r="O179" s="6" t="str">
        <f t="shared" si="22"/>
        <v/>
      </c>
      <c r="P179" s="6" t="str">
        <f t="shared" si="23"/>
        <v/>
      </c>
      <c r="Q179" s="6" t="str">
        <f t="shared" si="24"/>
        <v/>
      </c>
    </row>
    <row r="180" spans="13:17" x14ac:dyDescent="0.3">
      <c r="M180" s="6" t="str">
        <f t="shared" si="20"/>
        <v/>
      </c>
      <c r="N180" s="6" t="str">
        <f t="shared" si="21"/>
        <v/>
      </c>
      <c r="O180" s="6" t="str">
        <f t="shared" si="22"/>
        <v/>
      </c>
      <c r="P180" s="6" t="str">
        <f t="shared" si="23"/>
        <v/>
      </c>
      <c r="Q180" s="6" t="str">
        <f t="shared" si="24"/>
        <v/>
      </c>
    </row>
    <row r="181" spans="13:17" x14ac:dyDescent="0.3">
      <c r="M181" s="6" t="str">
        <f t="shared" si="20"/>
        <v/>
      </c>
      <c r="N181" s="6" t="str">
        <f t="shared" si="21"/>
        <v/>
      </c>
      <c r="O181" s="6" t="str">
        <f t="shared" si="22"/>
        <v/>
      </c>
      <c r="P181" s="6" t="str">
        <f t="shared" si="23"/>
        <v/>
      </c>
      <c r="Q181" s="6" t="str">
        <f t="shared" si="24"/>
        <v/>
      </c>
    </row>
    <row r="182" spans="13:17" x14ac:dyDescent="0.3">
      <c r="M182" s="6" t="str">
        <f t="shared" si="20"/>
        <v/>
      </c>
      <c r="N182" s="6" t="str">
        <f t="shared" si="21"/>
        <v/>
      </c>
      <c r="O182" s="6" t="str">
        <f t="shared" si="22"/>
        <v/>
      </c>
      <c r="P182" s="6" t="str">
        <f t="shared" si="23"/>
        <v/>
      </c>
      <c r="Q182" s="6" t="str">
        <f t="shared" si="24"/>
        <v/>
      </c>
    </row>
    <row r="183" spans="13:17" x14ac:dyDescent="0.3">
      <c r="M183" s="6" t="str">
        <f t="shared" si="20"/>
        <v/>
      </c>
      <c r="N183" s="6" t="str">
        <f t="shared" si="21"/>
        <v/>
      </c>
      <c r="O183" s="6" t="str">
        <f t="shared" si="22"/>
        <v/>
      </c>
      <c r="P183" s="6" t="str">
        <f t="shared" si="23"/>
        <v/>
      </c>
      <c r="Q183" s="6" t="str">
        <f t="shared" si="24"/>
        <v/>
      </c>
    </row>
    <row r="184" spans="13:17" x14ac:dyDescent="0.3">
      <c r="M184" s="6" t="str">
        <f t="shared" si="20"/>
        <v/>
      </c>
      <c r="N184" s="6" t="str">
        <f t="shared" si="21"/>
        <v/>
      </c>
      <c r="O184" s="6" t="str">
        <f t="shared" si="22"/>
        <v/>
      </c>
      <c r="P184" s="6" t="str">
        <f t="shared" si="23"/>
        <v/>
      </c>
      <c r="Q184" s="6" t="str">
        <f t="shared" si="24"/>
        <v/>
      </c>
    </row>
    <row r="185" spans="13:17" x14ac:dyDescent="0.3">
      <c r="M185" s="6" t="str">
        <f t="shared" si="20"/>
        <v/>
      </c>
      <c r="N185" s="6" t="str">
        <f t="shared" si="21"/>
        <v/>
      </c>
      <c r="O185" s="6" t="str">
        <f t="shared" si="22"/>
        <v/>
      </c>
      <c r="P185" s="6" t="str">
        <f t="shared" si="23"/>
        <v/>
      </c>
      <c r="Q185" s="6" t="str">
        <f t="shared" si="24"/>
        <v/>
      </c>
    </row>
    <row r="186" spans="13:17" x14ac:dyDescent="0.3">
      <c r="M186" s="6" t="str">
        <f t="shared" si="20"/>
        <v/>
      </c>
      <c r="N186" s="6" t="str">
        <f t="shared" si="21"/>
        <v/>
      </c>
      <c r="O186" s="6" t="str">
        <f t="shared" si="22"/>
        <v/>
      </c>
      <c r="P186" s="6" t="str">
        <f t="shared" si="23"/>
        <v/>
      </c>
      <c r="Q186" s="6" t="str">
        <f t="shared" si="24"/>
        <v/>
      </c>
    </row>
    <row r="187" spans="13:17" x14ac:dyDescent="0.3">
      <c r="M187" s="6" t="str">
        <f t="shared" si="20"/>
        <v/>
      </c>
      <c r="N187" s="6" t="str">
        <f t="shared" si="21"/>
        <v/>
      </c>
      <c r="O187" s="6" t="str">
        <f t="shared" si="22"/>
        <v/>
      </c>
      <c r="P187" s="6" t="str">
        <f t="shared" si="23"/>
        <v/>
      </c>
      <c r="Q187" s="6" t="str">
        <f t="shared" si="24"/>
        <v/>
      </c>
    </row>
    <row r="188" spans="13:17" x14ac:dyDescent="0.3">
      <c r="M188" s="6" t="str">
        <f t="shared" si="20"/>
        <v/>
      </c>
      <c r="N188" s="6" t="str">
        <f t="shared" si="21"/>
        <v/>
      </c>
      <c r="O188" s="6" t="str">
        <f t="shared" si="22"/>
        <v/>
      </c>
      <c r="P188" s="6" t="str">
        <f t="shared" si="23"/>
        <v/>
      </c>
      <c r="Q188" s="6" t="str">
        <f t="shared" si="24"/>
        <v/>
      </c>
    </row>
    <row r="189" spans="13:17" x14ac:dyDescent="0.3">
      <c r="M189" s="6" t="str">
        <f t="shared" si="20"/>
        <v/>
      </c>
      <c r="N189" s="6" t="str">
        <f t="shared" si="21"/>
        <v/>
      </c>
      <c r="O189" s="6" t="str">
        <f t="shared" si="22"/>
        <v/>
      </c>
      <c r="P189" s="6" t="str">
        <f t="shared" si="23"/>
        <v/>
      </c>
      <c r="Q189" s="6" t="str">
        <f t="shared" si="24"/>
        <v/>
      </c>
    </row>
    <row r="190" spans="13:17" x14ac:dyDescent="0.3">
      <c r="M190" s="6" t="str">
        <f t="shared" si="20"/>
        <v/>
      </c>
      <c r="N190" s="6" t="str">
        <f t="shared" si="21"/>
        <v/>
      </c>
      <c r="O190" s="6" t="str">
        <f t="shared" si="22"/>
        <v/>
      </c>
      <c r="P190" s="6" t="str">
        <f t="shared" si="23"/>
        <v/>
      </c>
      <c r="Q190" s="6" t="str">
        <f t="shared" si="24"/>
        <v/>
      </c>
    </row>
    <row r="191" spans="13:17" x14ac:dyDescent="0.3">
      <c r="M191" s="6" t="str">
        <f t="shared" si="20"/>
        <v/>
      </c>
      <c r="N191" s="6" t="str">
        <f t="shared" si="21"/>
        <v/>
      </c>
      <c r="O191" s="6" t="str">
        <f t="shared" si="22"/>
        <v/>
      </c>
      <c r="P191" s="6" t="str">
        <f t="shared" si="23"/>
        <v/>
      </c>
      <c r="Q191" s="6" t="str">
        <f t="shared" si="24"/>
        <v/>
      </c>
    </row>
    <row r="192" spans="13:17" x14ac:dyDescent="0.3">
      <c r="M192" s="6" t="str">
        <f t="shared" si="20"/>
        <v/>
      </c>
      <c r="N192" s="6" t="str">
        <f t="shared" si="21"/>
        <v/>
      </c>
      <c r="O192" s="6" t="str">
        <f t="shared" si="22"/>
        <v/>
      </c>
      <c r="P192" s="6" t="str">
        <f t="shared" si="23"/>
        <v/>
      </c>
      <c r="Q192" s="6" t="str">
        <f t="shared" si="24"/>
        <v/>
      </c>
    </row>
    <row r="193" spans="13:17" x14ac:dyDescent="0.3">
      <c r="M193" s="6" t="str">
        <f t="shared" si="20"/>
        <v/>
      </c>
      <c r="N193" s="6" t="str">
        <f t="shared" si="21"/>
        <v/>
      </c>
      <c r="O193" s="6" t="str">
        <f t="shared" si="22"/>
        <v/>
      </c>
      <c r="P193" s="6" t="str">
        <f t="shared" si="23"/>
        <v/>
      </c>
      <c r="Q193" s="6" t="str">
        <f t="shared" si="24"/>
        <v/>
      </c>
    </row>
    <row r="194" spans="13:17" x14ac:dyDescent="0.3">
      <c r="M194" s="6" t="str">
        <f t="shared" si="20"/>
        <v/>
      </c>
      <c r="N194" s="6" t="str">
        <f t="shared" si="21"/>
        <v/>
      </c>
      <c r="O194" s="6" t="str">
        <f t="shared" si="22"/>
        <v/>
      </c>
      <c r="P194" s="6" t="str">
        <f t="shared" si="23"/>
        <v/>
      </c>
      <c r="Q194" s="6" t="str">
        <f t="shared" si="24"/>
        <v/>
      </c>
    </row>
    <row r="195" spans="13:17" x14ac:dyDescent="0.3">
      <c r="M195" s="6" t="str">
        <f t="shared" si="20"/>
        <v/>
      </c>
      <c r="N195" s="6" t="str">
        <f t="shared" si="21"/>
        <v/>
      </c>
      <c r="O195" s="6" t="str">
        <f t="shared" si="22"/>
        <v/>
      </c>
      <c r="P195" s="6" t="str">
        <f t="shared" si="23"/>
        <v/>
      </c>
      <c r="Q195" s="6" t="str">
        <f t="shared" si="24"/>
        <v/>
      </c>
    </row>
    <row r="196" spans="13:17" x14ac:dyDescent="0.3">
      <c r="M196" s="6" t="str">
        <f t="shared" si="20"/>
        <v/>
      </c>
      <c r="N196" s="6" t="str">
        <f t="shared" si="21"/>
        <v/>
      </c>
      <c r="O196" s="6" t="str">
        <f t="shared" si="22"/>
        <v/>
      </c>
      <c r="P196" s="6" t="str">
        <f t="shared" si="23"/>
        <v/>
      </c>
      <c r="Q196" s="6" t="str">
        <f t="shared" si="24"/>
        <v/>
      </c>
    </row>
    <row r="197" spans="13:17" x14ac:dyDescent="0.3">
      <c r="M197" s="6" t="str">
        <f t="shared" si="20"/>
        <v/>
      </c>
      <c r="N197" s="6" t="str">
        <f t="shared" si="21"/>
        <v/>
      </c>
      <c r="O197" s="6" t="str">
        <f t="shared" si="22"/>
        <v/>
      </c>
      <c r="P197" s="6" t="str">
        <f t="shared" si="23"/>
        <v/>
      </c>
      <c r="Q197" s="6" t="str">
        <f t="shared" si="24"/>
        <v/>
      </c>
    </row>
    <row r="198" spans="13:17" x14ac:dyDescent="0.3">
      <c r="M198" s="6" t="str">
        <f t="shared" si="20"/>
        <v/>
      </c>
      <c r="N198" s="6" t="str">
        <f t="shared" si="21"/>
        <v/>
      </c>
      <c r="O198" s="6" t="str">
        <f t="shared" si="22"/>
        <v/>
      </c>
      <c r="P198" s="6" t="str">
        <f t="shared" si="23"/>
        <v/>
      </c>
      <c r="Q198" s="6" t="str">
        <f t="shared" si="24"/>
        <v/>
      </c>
    </row>
    <row r="199" spans="13:17" x14ac:dyDescent="0.3">
      <c r="M199" s="6" t="str">
        <f t="shared" si="20"/>
        <v/>
      </c>
      <c r="N199" s="6" t="str">
        <f t="shared" si="21"/>
        <v/>
      </c>
      <c r="O199" s="6" t="str">
        <f t="shared" si="22"/>
        <v/>
      </c>
      <c r="P199" s="6" t="str">
        <f t="shared" si="23"/>
        <v/>
      </c>
      <c r="Q199" s="6" t="str">
        <f t="shared" si="24"/>
        <v/>
      </c>
    </row>
    <row r="200" spans="13:17" x14ac:dyDescent="0.3">
      <c r="M200" s="6" t="str">
        <f t="shared" si="20"/>
        <v/>
      </c>
      <c r="N200" s="6" t="str">
        <f t="shared" si="21"/>
        <v/>
      </c>
      <c r="O200" s="6" t="str">
        <f t="shared" si="22"/>
        <v/>
      </c>
      <c r="P200" s="6" t="str">
        <f t="shared" si="23"/>
        <v/>
      </c>
      <c r="Q200" s="6" t="str">
        <f t="shared" si="24"/>
        <v/>
      </c>
    </row>
    <row r="201" spans="13:17" x14ac:dyDescent="0.3">
      <c r="M201" s="6" t="str">
        <f t="shared" si="20"/>
        <v/>
      </c>
      <c r="N201" s="6" t="str">
        <f t="shared" si="21"/>
        <v/>
      </c>
      <c r="O201" s="6" t="str">
        <f t="shared" si="22"/>
        <v/>
      </c>
      <c r="P201" s="6" t="str">
        <f t="shared" si="23"/>
        <v/>
      </c>
      <c r="Q201" s="6" t="str">
        <f t="shared" si="24"/>
        <v/>
      </c>
    </row>
    <row r="202" spans="13:17" x14ac:dyDescent="0.3">
      <c r="M202" s="6" t="str">
        <f t="shared" si="20"/>
        <v/>
      </c>
      <c r="N202" s="6" t="str">
        <f t="shared" si="21"/>
        <v/>
      </c>
      <c r="O202" s="6" t="str">
        <f t="shared" si="22"/>
        <v/>
      </c>
      <c r="P202" s="6" t="str">
        <f t="shared" si="23"/>
        <v/>
      </c>
      <c r="Q202" s="6" t="str">
        <f t="shared" si="24"/>
        <v/>
      </c>
    </row>
    <row r="203" spans="13:17" x14ac:dyDescent="0.3">
      <c r="M203" s="6" t="str">
        <f t="shared" si="20"/>
        <v/>
      </c>
      <c r="N203" s="6" t="str">
        <f t="shared" si="21"/>
        <v/>
      </c>
      <c r="O203" s="6" t="str">
        <f t="shared" si="22"/>
        <v/>
      </c>
      <c r="P203" s="6" t="str">
        <f t="shared" si="23"/>
        <v/>
      </c>
      <c r="Q203" s="6" t="str">
        <f t="shared" si="24"/>
        <v/>
      </c>
    </row>
    <row r="204" spans="13:17" x14ac:dyDescent="0.3">
      <c r="M204" s="6" t="str">
        <f t="shared" ref="M204:M267" si="25">IF(OR(I204="",F204=""),"",IF(OR(I204&lt;=0,F204&lt;=0),"",0.95*((I204^3)/F204)^0.385))</f>
        <v/>
      </c>
      <c r="N204" s="6" t="str">
        <f t="shared" ref="N204:N267" si="26">IF(OR(B204="",I204="",G204="",D204=""),"",IF(OR(B204&lt;=0,I204&lt;=0,G204&lt;=D204),"",(4*SQRT(B204)+1.5*I204)/(0.8*SQRT(G204-D204))))</f>
        <v/>
      </c>
      <c r="O204" s="6" t="str">
        <f t="shared" ref="O204:O267" si="27">IF(OR(I204="",C204="",H204=""),"",IF(OR(I204&lt;=0,H204&lt;=0,C204&lt;=0,C204&gt;100),"",((100*((I204*1000/0.3048)^0.8)*(((1000/C204)-9)^0.7))/(1900*SQRT(H204*100)))/60))</f>
        <v/>
      </c>
      <c r="P204" s="6" t="str">
        <f t="shared" ref="P204:P267" si="28">IF(OR(I204="",H204=""),"",IF(OR(I204&lt;=0,H204&lt;=0),"",(18*(I204^0.76)/(H204^0.19))/60))</f>
        <v/>
      </c>
      <c r="Q204" s="6" t="str">
        <f t="shared" ref="Q204:Q267" si="29">IF(OR(I204="",K204=""),"",IF(OR(I204&lt;=0,K204&lt;=0),"",I204/(3.6*K204)))</f>
        <v/>
      </c>
    </row>
    <row r="205" spans="13:17" x14ac:dyDescent="0.3">
      <c r="M205" s="6" t="str">
        <f t="shared" si="25"/>
        <v/>
      </c>
      <c r="N205" s="6" t="str">
        <f t="shared" si="26"/>
        <v/>
      </c>
      <c r="O205" s="6" t="str">
        <f t="shared" si="27"/>
        <v/>
      </c>
      <c r="P205" s="6" t="str">
        <f t="shared" si="28"/>
        <v/>
      </c>
      <c r="Q205" s="6" t="str">
        <f t="shared" si="29"/>
        <v/>
      </c>
    </row>
    <row r="206" spans="13:17" x14ac:dyDescent="0.3">
      <c r="M206" s="6" t="str">
        <f t="shared" si="25"/>
        <v/>
      </c>
      <c r="N206" s="6" t="str">
        <f t="shared" si="26"/>
        <v/>
      </c>
      <c r="O206" s="6" t="str">
        <f t="shared" si="27"/>
        <v/>
      </c>
      <c r="P206" s="6" t="str">
        <f t="shared" si="28"/>
        <v/>
      </c>
      <c r="Q206" s="6" t="str">
        <f t="shared" si="29"/>
        <v/>
      </c>
    </row>
    <row r="207" spans="13:17" x14ac:dyDescent="0.3">
      <c r="M207" s="6" t="str">
        <f t="shared" si="25"/>
        <v/>
      </c>
      <c r="N207" s="6" t="str">
        <f t="shared" si="26"/>
        <v/>
      </c>
      <c r="O207" s="6" t="str">
        <f t="shared" si="27"/>
        <v/>
      </c>
      <c r="P207" s="6" t="str">
        <f t="shared" si="28"/>
        <v/>
      </c>
      <c r="Q207" s="6" t="str">
        <f t="shared" si="29"/>
        <v/>
      </c>
    </row>
    <row r="208" spans="13:17" x14ac:dyDescent="0.3">
      <c r="M208" s="6" t="str">
        <f t="shared" si="25"/>
        <v/>
      </c>
      <c r="N208" s="6" t="str">
        <f t="shared" si="26"/>
        <v/>
      </c>
      <c r="O208" s="6" t="str">
        <f t="shared" si="27"/>
        <v/>
      </c>
      <c r="P208" s="6" t="str">
        <f t="shared" si="28"/>
        <v/>
      </c>
      <c r="Q208" s="6" t="str">
        <f t="shared" si="29"/>
        <v/>
      </c>
    </row>
    <row r="209" spans="13:17" x14ac:dyDescent="0.3">
      <c r="M209" s="6" t="str">
        <f t="shared" si="25"/>
        <v/>
      </c>
      <c r="N209" s="6" t="str">
        <f t="shared" si="26"/>
        <v/>
      </c>
      <c r="O209" s="6" t="str">
        <f t="shared" si="27"/>
        <v/>
      </c>
      <c r="P209" s="6" t="str">
        <f t="shared" si="28"/>
        <v/>
      </c>
      <c r="Q209" s="6" t="str">
        <f t="shared" si="29"/>
        <v/>
      </c>
    </row>
    <row r="210" spans="13:17" x14ac:dyDescent="0.3">
      <c r="M210" s="6" t="str">
        <f t="shared" si="25"/>
        <v/>
      </c>
      <c r="N210" s="6" t="str">
        <f t="shared" si="26"/>
        <v/>
      </c>
      <c r="O210" s="6" t="str">
        <f t="shared" si="27"/>
        <v/>
      </c>
      <c r="P210" s="6" t="str">
        <f t="shared" si="28"/>
        <v/>
      </c>
      <c r="Q210" s="6" t="str">
        <f t="shared" si="29"/>
        <v/>
      </c>
    </row>
    <row r="211" spans="13:17" x14ac:dyDescent="0.3">
      <c r="M211" s="6" t="str">
        <f t="shared" si="25"/>
        <v/>
      </c>
      <c r="N211" s="6" t="str">
        <f t="shared" si="26"/>
        <v/>
      </c>
      <c r="O211" s="6" t="str">
        <f t="shared" si="27"/>
        <v/>
      </c>
      <c r="P211" s="6" t="str">
        <f t="shared" si="28"/>
        <v/>
      </c>
      <c r="Q211" s="6" t="str">
        <f t="shared" si="29"/>
        <v/>
      </c>
    </row>
    <row r="212" spans="13:17" x14ac:dyDescent="0.3">
      <c r="M212" s="6" t="str">
        <f t="shared" si="25"/>
        <v/>
      </c>
      <c r="N212" s="6" t="str">
        <f t="shared" si="26"/>
        <v/>
      </c>
      <c r="O212" s="6" t="str">
        <f t="shared" si="27"/>
        <v/>
      </c>
      <c r="P212" s="6" t="str">
        <f t="shared" si="28"/>
        <v/>
      </c>
      <c r="Q212" s="6" t="str">
        <f t="shared" si="29"/>
        <v/>
      </c>
    </row>
    <row r="213" spans="13:17" x14ac:dyDescent="0.3">
      <c r="M213" s="6" t="str">
        <f t="shared" si="25"/>
        <v/>
      </c>
      <c r="N213" s="6" t="str">
        <f t="shared" si="26"/>
        <v/>
      </c>
      <c r="O213" s="6" t="str">
        <f t="shared" si="27"/>
        <v/>
      </c>
      <c r="P213" s="6" t="str">
        <f t="shared" si="28"/>
        <v/>
      </c>
      <c r="Q213" s="6" t="str">
        <f t="shared" si="29"/>
        <v/>
      </c>
    </row>
    <row r="214" spans="13:17" x14ac:dyDescent="0.3">
      <c r="M214" s="6" t="str">
        <f t="shared" si="25"/>
        <v/>
      </c>
      <c r="N214" s="6" t="str">
        <f t="shared" si="26"/>
        <v/>
      </c>
      <c r="O214" s="6" t="str">
        <f t="shared" si="27"/>
        <v/>
      </c>
      <c r="P214" s="6" t="str">
        <f t="shared" si="28"/>
        <v/>
      </c>
      <c r="Q214" s="6" t="str">
        <f t="shared" si="29"/>
        <v/>
      </c>
    </row>
    <row r="215" spans="13:17" x14ac:dyDescent="0.3">
      <c r="M215" s="6" t="str">
        <f t="shared" si="25"/>
        <v/>
      </c>
      <c r="N215" s="6" t="str">
        <f t="shared" si="26"/>
        <v/>
      </c>
      <c r="O215" s="6" t="str">
        <f t="shared" si="27"/>
        <v/>
      </c>
      <c r="P215" s="6" t="str">
        <f t="shared" si="28"/>
        <v/>
      </c>
      <c r="Q215" s="6" t="str">
        <f t="shared" si="29"/>
        <v/>
      </c>
    </row>
    <row r="216" spans="13:17" x14ac:dyDescent="0.3">
      <c r="M216" s="6" t="str">
        <f t="shared" si="25"/>
        <v/>
      </c>
      <c r="N216" s="6" t="str">
        <f t="shared" si="26"/>
        <v/>
      </c>
      <c r="O216" s="6" t="str">
        <f t="shared" si="27"/>
        <v/>
      </c>
      <c r="P216" s="6" t="str">
        <f t="shared" si="28"/>
        <v/>
      </c>
      <c r="Q216" s="6" t="str">
        <f t="shared" si="29"/>
        <v/>
      </c>
    </row>
    <row r="217" spans="13:17" x14ac:dyDescent="0.3">
      <c r="M217" s="6" t="str">
        <f t="shared" si="25"/>
        <v/>
      </c>
      <c r="N217" s="6" t="str">
        <f t="shared" si="26"/>
        <v/>
      </c>
      <c r="O217" s="6" t="str">
        <f t="shared" si="27"/>
        <v/>
      </c>
      <c r="P217" s="6" t="str">
        <f t="shared" si="28"/>
        <v/>
      </c>
      <c r="Q217" s="6" t="str">
        <f t="shared" si="29"/>
        <v/>
      </c>
    </row>
    <row r="218" spans="13:17" x14ac:dyDescent="0.3">
      <c r="M218" s="6" t="str">
        <f t="shared" si="25"/>
        <v/>
      </c>
      <c r="N218" s="6" t="str">
        <f t="shared" si="26"/>
        <v/>
      </c>
      <c r="O218" s="6" t="str">
        <f t="shared" si="27"/>
        <v/>
      </c>
      <c r="P218" s="6" t="str">
        <f t="shared" si="28"/>
        <v/>
      </c>
      <c r="Q218" s="6" t="str">
        <f t="shared" si="29"/>
        <v/>
      </c>
    </row>
    <row r="219" spans="13:17" x14ac:dyDescent="0.3">
      <c r="M219" s="6" t="str">
        <f t="shared" si="25"/>
        <v/>
      </c>
      <c r="N219" s="6" t="str">
        <f t="shared" si="26"/>
        <v/>
      </c>
      <c r="O219" s="6" t="str">
        <f t="shared" si="27"/>
        <v/>
      </c>
      <c r="P219" s="6" t="str">
        <f t="shared" si="28"/>
        <v/>
      </c>
      <c r="Q219" s="6" t="str">
        <f t="shared" si="29"/>
        <v/>
      </c>
    </row>
    <row r="220" spans="13:17" x14ac:dyDescent="0.3">
      <c r="M220" s="6" t="str">
        <f t="shared" si="25"/>
        <v/>
      </c>
      <c r="N220" s="6" t="str">
        <f t="shared" si="26"/>
        <v/>
      </c>
      <c r="O220" s="6" t="str">
        <f t="shared" si="27"/>
        <v/>
      </c>
      <c r="P220" s="6" t="str">
        <f t="shared" si="28"/>
        <v/>
      </c>
      <c r="Q220" s="6" t="str">
        <f t="shared" si="29"/>
        <v/>
      </c>
    </row>
    <row r="221" spans="13:17" x14ac:dyDescent="0.3">
      <c r="M221" s="6" t="str">
        <f t="shared" si="25"/>
        <v/>
      </c>
      <c r="N221" s="6" t="str">
        <f t="shared" si="26"/>
        <v/>
      </c>
      <c r="O221" s="6" t="str">
        <f t="shared" si="27"/>
        <v/>
      </c>
      <c r="P221" s="6" t="str">
        <f t="shared" si="28"/>
        <v/>
      </c>
      <c r="Q221" s="6" t="str">
        <f t="shared" si="29"/>
        <v/>
      </c>
    </row>
    <row r="222" spans="13:17" x14ac:dyDescent="0.3">
      <c r="M222" s="6" t="str">
        <f t="shared" si="25"/>
        <v/>
      </c>
      <c r="N222" s="6" t="str">
        <f t="shared" si="26"/>
        <v/>
      </c>
      <c r="O222" s="6" t="str">
        <f t="shared" si="27"/>
        <v/>
      </c>
      <c r="P222" s="6" t="str">
        <f t="shared" si="28"/>
        <v/>
      </c>
      <c r="Q222" s="6" t="str">
        <f t="shared" si="29"/>
        <v/>
      </c>
    </row>
    <row r="223" spans="13:17" x14ac:dyDescent="0.3">
      <c r="M223" s="6" t="str">
        <f t="shared" si="25"/>
        <v/>
      </c>
      <c r="N223" s="6" t="str">
        <f t="shared" si="26"/>
        <v/>
      </c>
      <c r="O223" s="6" t="str">
        <f t="shared" si="27"/>
        <v/>
      </c>
      <c r="P223" s="6" t="str">
        <f t="shared" si="28"/>
        <v/>
      </c>
      <c r="Q223" s="6" t="str">
        <f t="shared" si="29"/>
        <v/>
      </c>
    </row>
    <row r="224" spans="13:17" x14ac:dyDescent="0.3">
      <c r="M224" s="6" t="str">
        <f t="shared" si="25"/>
        <v/>
      </c>
      <c r="N224" s="6" t="str">
        <f t="shared" si="26"/>
        <v/>
      </c>
      <c r="O224" s="6" t="str">
        <f t="shared" si="27"/>
        <v/>
      </c>
      <c r="P224" s="6" t="str">
        <f t="shared" si="28"/>
        <v/>
      </c>
      <c r="Q224" s="6" t="str">
        <f t="shared" si="29"/>
        <v/>
      </c>
    </row>
    <row r="225" spans="13:17" x14ac:dyDescent="0.3">
      <c r="M225" s="6" t="str">
        <f t="shared" si="25"/>
        <v/>
      </c>
      <c r="N225" s="6" t="str">
        <f t="shared" si="26"/>
        <v/>
      </c>
      <c r="O225" s="6" t="str">
        <f t="shared" si="27"/>
        <v/>
      </c>
      <c r="P225" s="6" t="str">
        <f t="shared" si="28"/>
        <v/>
      </c>
      <c r="Q225" s="6" t="str">
        <f t="shared" si="29"/>
        <v/>
      </c>
    </row>
    <row r="226" spans="13:17" x14ac:dyDescent="0.3">
      <c r="M226" s="6" t="str">
        <f t="shared" si="25"/>
        <v/>
      </c>
      <c r="N226" s="6" t="str">
        <f t="shared" si="26"/>
        <v/>
      </c>
      <c r="O226" s="6" t="str">
        <f t="shared" si="27"/>
        <v/>
      </c>
      <c r="P226" s="6" t="str">
        <f t="shared" si="28"/>
        <v/>
      </c>
      <c r="Q226" s="6" t="str">
        <f t="shared" si="29"/>
        <v/>
      </c>
    </row>
    <row r="227" spans="13:17" x14ac:dyDescent="0.3">
      <c r="M227" s="6" t="str">
        <f t="shared" si="25"/>
        <v/>
      </c>
      <c r="N227" s="6" t="str">
        <f t="shared" si="26"/>
        <v/>
      </c>
      <c r="O227" s="6" t="str">
        <f t="shared" si="27"/>
        <v/>
      </c>
      <c r="P227" s="6" t="str">
        <f t="shared" si="28"/>
        <v/>
      </c>
      <c r="Q227" s="6" t="str">
        <f t="shared" si="29"/>
        <v/>
      </c>
    </row>
    <row r="228" spans="13:17" x14ac:dyDescent="0.3">
      <c r="M228" s="6" t="str">
        <f t="shared" si="25"/>
        <v/>
      </c>
      <c r="N228" s="6" t="str">
        <f t="shared" si="26"/>
        <v/>
      </c>
      <c r="O228" s="6" t="str">
        <f t="shared" si="27"/>
        <v/>
      </c>
      <c r="P228" s="6" t="str">
        <f t="shared" si="28"/>
        <v/>
      </c>
      <c r="Q228" s="6" t="str">
        <f t="shared" si="29"/>
        <v/>
      </c>
    </row>
    <row r="229" spans="13:17" x14ac:dyDescent="0.3">
      <c r="M229" s="6" t="str">
        <f t="shared" si="25"/>
        <v/>
      </c>
      <c r="N229" s="6" t="str">
        <f t="shared" si="26"/>
        <v/>
      </c>
      <c r="O229" s="6" t="str">
        <f t="shared" si="27"/>
        <v/>
      </c>
      <c r="P229" s="6" t="str">
        <f t="shared" si="28"/>
        <v/>
      </c>
      <c r="Q229" s="6" t="str">
        <f t="shared" si="29"/>
        <v/>
      </c>
    </row>
    <row r="230" spans="13:17" x14ac:dyDescent="0.3">
      <c r="M230" s="6" t="str">
        <f t="shared" si="25"/>
        <v/>
      </c>
      <c r="N230" s="6" t="str">
        <f t="shared" si="26"/>
        <v/>
      </c>
      <c r="O230" s="6" t="str">
        <f t="shared" si="27"/>
        <v/>
      </c>
      <c r="P230" s="6" t="str">
        <f t="shared" si="28"/>
        <v/>
      </c>
      <c r="Q230" s="6" t="str">
        <f t="shared" si="29"/>
        <v/>
      </c>
    </row>
    <row r="231" spans="13:17" x14ac:dyDescent="0.3">
      <c r="M231" s="6" t="str">
        <f t="shared" si="25"/>
        <v/>
      </c>
      <c r="N231" s="6" t="str">
        <f t="shared" si="26"/>
        <v/>
      </c>
      <c r="O231" s="6" t="str">
        <f t="shared" si="27"/>
        <v/>
      </c>
      <c r="P231" s="6" t="str">
        <f t="shared" si="28"/>
        <v/>
      </c>
      <c r="Q231" s="6" t="str">
        <f t="shared" si="29"/>
        <v/>
      </c>
    </row>
    <row r="232" spans="13:17" x14ac:dyDescent="0.3">
      <c r="M232" s="6" t="str">
        <f t="shared" si="25"/>
        <v/>
      </c>
      <c r="N232" s="6" t="str">
        <f t="shared" si="26"/>
        <v/>
      </c>
      <c r="O232" s="6" t="str">
        <f t="shared" si="27"/>
        <v/>
      </c>
      <c r="P232" s="6" t="str">
        <f t="shared" si="28"/>
        <v/>
      </c>
      <c r="Q232" s="6" t="str">
        <f t="shared" si="29"/>
        <v/>
      </c>
    </row>
    <row r="233" spans="13:17" x14ac:dyDescent="0.3">
      <c r="M233" s="6" t="str">
        <f t="shared" si="25"/>
        <v/>
      </c>
      <c r="N233" s="6" t="str">
        <f t="shared" si="26"/>
        <v/>
      </c>
      <c r="O233" s="6" t="str">
        <f t="shared" si="27"/>
        <v/>
      </c>
      <c r="P233" s="6" t="str">
        <f t="shared" si="28"/>
        <v/>
      </c>
      <c r="Q233" s="6" t="str">
        <f t="shared" si="29"/>
        <v/>
      </c>
    </row>
    <row r="234" spans="13:17" x14ac:dyDescent="0.3">
      <c r="M234" s="6" t="str">
        <f t="shared" si="25"/>
        <v/>
      </c>
      <c r="N234" s="6" t="str">
        <f t="shared" si="26"/>
        <v/>
      </c>
      <c r="O234" s="6" t="str">
        <f t="shared" si="27"/>
        <v/>
      </c>
      <c r="P234" s="6" t="str">
        <f t="shared" si="28"/>
        <v/>
      </c>
      <c r="Q234" s="6" t="str">
        <f t="shared" si="29"/>
        <v/>
      </c>
    </row>
    <row r="235" spans="13:17" x14ac:dyDescent="0.3">
      <c r="M235" s="6" t="str">
        <f t="shared" si="25"/>
        <v/>
      </c>
      <c r="N235" s="6" t="str">
        <f t="shared" si="26"/>
        <v/>
      </c>
      <c r="O235" s="6" t="str">
        <f t="shared" si="27"/>
        <v/>
      </c>
      <c r="P235" s="6" t="str">
        <f t="shared" si="28"/>
        <v/>
      </c>
      <c r="Q235" s="6" t="str">
        <f t="shared" si="29"/>
        <v/>
      </c>
    </row>
    <row r="236" spans="13:17" x14ac:dyDescent="0.3">
      <c r="M236" s="6" t="str">
        <f t="shared" si="25"/>
        <v/>
      </c>
      <c r="N236" s="6" t="str">
        <f t="shared" si="26"/>
        <v/>
      </c>
      <c r="O236" s="6" t="str">
        <f t="shared" si="27"/>
        <v/>
      </c>
      <c r="P236" s="6" t="str">
        <f t="shared" si="28"/>
        <v/>
      </c>
      <c r="Q236" s="6" t="str">
        <f t="shared" si="29"/>
        <v/>
      </c>
    </row>
    <row r="237" spans="13:17" x14ac:dyDescent="0.3">
      <c r="M237" s="6" t="str">
        <f t="shared" si="25"/>
        <v/>
      </c>
      <c r="N237" s="6" t="str">
        <f t="shared" si="26"/>
        <v/>
      </c>
      <c r="O237" s="6" t="str">
        <f t="shared" si="27"/>
        <v/>
      </c>
      <c r="P237" s="6" t="str">
        <f t="shared" si="28"/>
        <v/>
      </c>
      <c r="Q237" s="6" t="str">
        <f t="shared" si="29"/>
        <v/>
      </c>
    </row>
    <row r="238" spans="13:17" x14ac:dyDescent="0.3">
      <c r="M238" s="6" t="str">
        <f t="shared" si="25"/>
        <v/>
      </c>
      <c r="N238" s="6" t="str">
        <f t="shared" si="26"/>
        <v/>
      </c>
      <c r="O238" s="6" t="str">
        <f t="shared" si="27"/>
        <v/>
      </c>
      <c r="P238" s="6" t="str">
        <f t="shared" si="28"/>
        <v/>
      </c>
      <c r="Q238" s="6" t="str">
        <f t="shared" si="29"/>
        <v/>
      </c>
    </row>
    <row r="239" spans="13:17" x14ac:dyDescent="0.3">
      <c r="M239" s="6" t="str">
        <f t="shared" si="25"/>
        <v/>
      </c>
      <c r="N239" s="6" t="str">
        <f t="shared" si="26"/>
        <v/>
      </c>
      <c r="O239" s="6" t="str">
        <f t="shared" si="27"/>
        <v/>
      </c>
      <c r="P239" s="6" t="str">
        <f t="shared" si="28"/>
        <v/>
      </c>
      <c r="Q239" s="6" t="str">
        <f t="shared" si="29"/>
        <v/>
      </c>
    </row>
    <row r="240" spans="13:17" x14ac:dyDescent="0.3">
      <c r="M240" s="6" t="str">
        <f t="shared" si="25"/>
        <v/>
      </c>
      <c r="N240" s="6" t="str">
        <f t="shared" si="26"/>
        <v/>
      </c>
      <c r="O240" s="6" t="str">
        <f t="shared" si="27"/>
        <v/>
      </c>
      <c r="P240" s="6" t="str">
        <f t="shared" si="28"/>
        <v/>
      </c>
      <c r="Q240" s="6" t="str">
        <f t="shared" si="29"/>
        <v/>
      </c>
    </row>
    <row r="241" spans="13:17" x14ac:dyDescent="0.3">
      <c r="M241" s="6" t="str">
        <f t="shared" si="25"/>
        <v/>
      </c>
      <c r="N241" s="6" t="str">
        <f t="shared" si="26"/>
        <v/>
      </c>
      <c r="O241" s="6" t="str">
        <f t="shared" si="27"/>
        <v/>
      </c>
      <c r="P241" s="6" t="str">
        <f t="shared" si="28"/>
        <v/>
      </c>
      <c r="Q241" s="6" t="str">
        <f t="shared" si="29"/>
        <v/>
      </c>
    </row>
    <row r="242" spans="13:17" x14ac:dyDescent="0.3">
      <c r="M242" s="6" t="str">
        <f t="shared" si="25"/>
        <v/>
      </c>
      <c r="N242" s="6" t="str">
        <f t="shared" si="26"/>
        <v/>
      </c>
      <c r="O242" s="6" t="str">
        <f t="shared" si="27"/>
        <v/>
      </c>
      <c r="P242" s="6" t="str">
        <f t="shared" si="28"/>
        <v/>
      </c>
      <c r="Q242" s="6" t="str">
        <f t="shared" si="29"/>
        <v/>
      </c>
    </row>
    <row r="243" spans="13:17" x14ac:dyDescent="0.3">
      <c r="M243" s="6" t="str">
        <f t="shared" si="25"/>
        <v/>
      </c>
      <c r="N243" s="6" t="str">
        <f t="shared" si="26"/>
        <v/>
      </c>
      <c r="O243" s="6" t="str">
        <f t="shared" si="27"/>
        <v/>
      </c>
      <c r="P243" s="6" t="str">
        <f t="shared" si="28"/>
        <v/>
      </c>
      <c r="Q243" s="6" t="str">
        <f t="shared" si="29"/>
        <v/>
      </c>
    </row>
    <row r="244" spans="13:17" x14ac:dyDescent="0.3">
      <c r="M244" s="6" t="str">
        <f t="shared" si="25"/>
        <v/>
      </c>
      <c r="N244" s="6" t="str">
        <f t="shared" si="26"/>
        <v/>
      </c>
      <c r="O244" s="6" t="str">
        <f t="shared" si="27"/>
        <v/>
      </c>
      <c r="P244" s="6" t="str">
        <f t="shared" si="28"/>
        <v/>
      </c>
      <c r="Q244" s="6" t="str">
        <f t="shared" si="29"/>
        <v/>
      </c>
    </row>
    <row r="245" spans="13:17" x14ac:dyDescent="0.3">
      <c r="M245" s="6" t="str">
        <f t="shared" si="25"/>
        <v/>
      </c>
      <c r="N245" s="6" t="str">
        <f t="shared" si="26"/>
        <v/>
      </c>
      <c r="O245" s="6" t="str">
        <f t="shared" si="27"/>
        <v/>
      </c>
      <c r="P245" s="6" t="str">
        <f t="shared" si="28"/>
        <v/>
      </c>
      <c r="Q245" s="6" t="str">
        <f t="shared" si="29"/>
        <v/>
      </c>
    </row>
    <row r="246" spans="13:17" x14ac:dyDescent="0.3">
      <c r="M246" s="6" t="str">
        <f t="shared" si="25"/>
        <v/>
      </c>
      <c r="N246" s="6" t="str">
        <f t="shared" si="26"/>
        <v/>
      </c>
      <c r="O246" s="6" t="str">
        <f t="shared" si="27"/>
        <v/>
      </c>
      <c r="P246" s="6" t="str">
        <f t="shared" si="28"/>
        <v/>
      </c>
      <c r="Q246" s="6" t="str">
        <f t="shared" si="29"/>
        <v/>
      </c>
    </row>
    <row r="247" spans="13:17" x14ac:dyDescent="0.3">
      <c r="M247" s="6" t="str">
        <f t="shared" si="25"/>
        <v/>
      </c>
      <c r="N247" s="6" t="str">
        <f t="shared" si="26"/>
        <v/>
      </c>
      <c r="O247" s="6" t="str">
        <f t="shared" si="27"/>
        <v/>
      </c>
      <c r="P247" s="6" t="str">
        <f t="shared" si="28"/>
        <v/>
      </c>
      <c r="Q247" s="6" t="str">
        <f t="shared" si="29"/>
        <v/>
      </c>
    </row>
    <row r="248" spans="13:17" x14ac:dyDescent="0.3">
      <c r="M248" s="6" t="str">
        <f t="shared" si="25"/>
        <v/>
      </c>
      <c r="N248" s="6" t="str">
        <f t="shared" si="26"/>
        <v/>
      </c>
      <c r="O248" s="6" t="str">
        <f t="shared" si="27"/>
        <v/>
      </c>
      <c r="P248" s="6" t="str">
        <f t="shared" si="28"/>
        <v/>
      </c>
      <c r="Q248" s="6" t="str">
        <f t="shared" si="29"/>
        <v/>
      </c>
    </row>
    <row r="249" spans="13:17" x14ac:dyDescent="0.3">
      <c r="M249" s="6" t="str">
        <f t="shared" si="25"/>
        <v/>
      </c>
      <c r="N249" s="6" t="str">
        <f t="shared" si="26"/>
        <v/>
      </c>
      <c r="O249" s="6" t="str">
        <f t="shared" si="27"/>
        <v/>
      </c>
      <c r="P249" s="6" t="str">
        <f t="shared" si="28"/>
        <v/>
      </c>
      <c r="Q249" s="6" t="str">
        <f t="shared" si="29"/>
        <v/>
      </c>
    </row>
    <row r="250" spans="13:17" x14ac:dyDescent="0.3">
      <c r="M250" s="6" t="str">
        <f t="shared" si="25"/>
        <v/>
      </c>
      <c r="N250" s="6" t="str">
        <f t="shared" si="26"/>
        <v/>
      </c>
      <c r="O250" s="6" t="str">
        <f t="shared" si="27"/>
        <v/>
      </c>
      <c r="P250" s="6" t="str">
        <f t="shared" si="28"/>
        <v/>
      </c>
      <c r="Q250" s="6" t="str">
        <f t="shared" si="29"/>
        <v/>
      </c>
    </row>
    <row r="251" spans="13:17" x14ac:dyDescent="0.3">
      <c r="M251" s="6" t="str">
        <f t="shared" si="25"/>
        <v/>
      </c>
      <c r="N251" s="6" t="str">
        <f t="shared" si="26"/>
        <v/>
      </c>
      <c r="O251" s="6" t="str">
        <f t="shared" si="27"/>
        <v/>
      </c>
      <c r="P251" s="6" t="str">
        <f t="shared" si="28"/>
        <v/>
      </c>
      <c r="Q251" s="6" t="str">
        <f t="shared" si="29"/>
        <v/>
      </c>
    </row>
    <row r="252" spans="13:17" x14ac:dyDescent="0.3">
      <c r="M252" s="6" t="str">
        <f t="shared" si="25"/>
        <v/>
      </c>
      <c r="N252" s="6" t="str">
        <f t="shared" si="26"/>
        <v/>
      </c>
      <c r="O252" s="6" t="str">
        <f t="shared" si="27"/>
        <v/>
      </c>
      <c r="P252" s="6" t="str">
        <f t="shared" si="28"/>
        <v/>
      </c>
      <c r="Q252" s="6" t="str">
        <f t="shared" si="29"/>
        <v/>
      </c>
    </row>
    <row r="253" spans="13:17" x14ac:dyDescent="0.3">
      <c r="M253" s="6" t="str">
        <f t="shared" si="25"/>
        <v/>
      </c>
      <c r="N253" s="6" t="str">
        <f t="shared" si="26"/>
        <v/>
      </c>
      <c r="O253" s="6" t="str">
        <f t="shared" si="27"/>
        <v/>
      </c>
      <c r="P253" s="6" t="str">
        <f t="shared" si="28"/>
        <v/>
      </c>
      <c r="Q253" s="6" t="str">
        <f t="shared" si="29"/>
        <v/>
      </c>
    </row>
    <row r="254" spans="13:17" x14ac:dyDescent="0.3">
      <c r="M254" s="6" t="str">
        <f t="shared" si="25"/>
        <v/>
      </c>
      <c r="N254" s="6" t="str">
        <f t="shared" si="26"/>
        <v/>
      </c>
      <c r="O254" s="6" t="str">
        <f t="shared" si="27"/>
        <v/>
      </c>
      <c r="P254" s="6" t="str">
        <f t="shared" si="28"/>
        <v/>
      </c>
      <c r="Q254" s="6" t="str">
        <f t="shared" si="29"/>
        <v/>
      </c>
    </row>
    <row r="255" spans="13:17" x14ac:dyDescent="0.3">
      <c r="M255" s="6" t="str">
        <f t="shared" si="25"/>
        <v/>
      </c>
      <c r="N255" s="6" t="str">
        <f t="shared" si="26"/>
        <v/>
      </c>
      <c r="O255" s="6" t="str">
        <f t="shared" si="27"/>
        <v/>
      </c>
      <c r="P255" s="6" t="str">
        <f t="shared" si="28"/>
        <v/>
      </c>
      <c r="Q255" s="6" t="str">
        <f t="shared" si="29"/>
        <v/>
      </c>
    </row>
    <row r="256" spans="13:17" x14ac:dyDescent="0.3">
      <c r="M256" s="6" t="str">
        <f t="shared" si="25"/>
        <v/>
      </c>
      <c r="N256" s="6" t="str">
        <f t="shared" si="26"/>
        <v/>
      </c>
      <c r="O256" s="6" t="str">
        <f t="shared" si="27"/>
        <v/>
      </c>
      <c r="P256" s="6" t="str">
        <f t="shared" si="28"/>
        <v/>
      </c>
      <c r="Q256" s="6" t="str">
        <f t="shared" si="29"/>
        <v/>
      </c>
    </row>
    <row r="257" spans="13:17" x14ac:dyDescent="0.3">
      <c r="M257" s="6" t="str">
        <f t="shared" si="25"/>
        <v/>
      </c>
      <c r="N257" s="6" t="str">
        <f t="shared" si="26"/>
        <v/>
      </c>
      <c r="O257" s="6" t="str">
        <f t="shared" si="27"/>
        <v/>
      </c>
      <c r="P257" s="6" t="str">
        <f t="shared" si="28"/>
        <v/>
      </c>
      <c r="Q257" s="6" t="str">
        <f t="shared" si="29"/>
        <v/>
      </c>
    </row>
    <row r="258" spans="13:17" x14ac:dyDescent="0.3">
      <c r="M258" s="6" t="str">
        <f t="shared" si="25"/>
        <v/>
      </c>
      <c r="N258" s="6" t="str">
        <f t="shared" si="26"/>
        <v/>
      </c>
      <c r="O258" s="6" t="str">
        <f t="shared" si="27"/>
        <v/>
      </c>
      <c r="P258" s="6" t="str">
        <f t="shared" si="28"/>
        <v/>
      </c>
      <c r="Q258" s="6" t="str">
        <f t="shared" si="29"/>
        <v/>
      </c>
    </row>
    <row r="259" spans="13:17" x14ac:dyDescent="0.3">
      <c r="M259" s="6" t="str">
        <f t="shared" si="25"/>
        <v/>
      </c>
      <c r="N259" s="6" t="str">
        <f t="shared" si="26"/>
        <v/>
      </c>
      <c r="O259" s="6" t="str">
        <f t="shared" si="27"/>
        <v/>
      </c>
      <c r="P259" s="6" t="str">
        <f t="shared" si="28"/>
        <v/>
      </c>
      <c r="Q259" s="6" t="str">
        <f t="shared" si="29"/>
        <v/>
      </c>
    </row>
    <row r="260" spans="13:17" x14ac:dyDescent="0.3">
      <c r="M260" s="6" t="str">
        <f t="shared" si="25"/>
        <v/>
      </c>
      <c r="N260" s="6" t="str">
        <f t="shared" si="26"/>
        <v/>
      </c>
      <c r="O260" s="6" t="str">
        <f t="shared" si="27"/>
        <v/>
      </c>
      <c r="P260" s="6" t="str">
        <f t="shared" si="28"/>
        <v/>
      </c>
      <c r="Q260" s="6" t="str">
        <f t="shared" si="29"/>
        <v/>
      </c>
    </row>
    <row r="261" spans="13:17" x14ac:dyDescent="0.3">
      <c r="M261" s="6" t="str">
        <f t="shared" si="25"/>
        <v/>
      </c>
      <c r="N261" s="6" t="str">
        <f t="shared" si="26"/>
        <v/>
      </c>
      <c r="O261" s="6" t="str">
        <f t="shared" si="27"/>
        <v/>
      </c>
      <c r="P261" s="6" t="str">
        <f t="shared" si="28"/>
        <v/>
      </c>
      <c r="Q261" s="6" t="str">
        <f t="shared" si="29"/>
        <v/>
      </c>
    </row>
    <row r="262" spans="13:17" x14ac:dyDescent="0.3">
      <c r="M262" s="6" t="str">
        <f t="shared" si="25"/>
        <v/>
      </c>
      <c r="N262" s="6" t="str">
        <f t="shared" si="26"/>
        <v/>
      </c>
      <c r="O262" s="6" t="str">
        <f t="shared" si="27"/>
        <v/>
      </c>
      <c r="P262" s="6" t="str">
        <f t="shared" si="28"/>
        <v/>
      </c>
      <c r="Q262" s="6" t="str">
        <f t="shared" si="29"/>
        <v/>
      </c>
    </row>
    <row r="263" spans="13:17" x14ac:dyDescent="0.3">
      <c r="M263" s="6" t="str">
        <f t="shared" si="25"/>
        <v/>
      </c>
      <c r="N263" s="6" t="str">
        <f t="shared" si="26"/>
        <v/>
      </c>
      <c r="O263" s="6" t="str">
        <f t="shared" si="27"/>
        <v/>
      </c>
      <c r="P263" s="6" t="str">
        <f t="shared" si="28"/>
        <v/>
      </c>
      <c r="Q263" s="6" t="str">
        <f t="shared" si="29"/>
        <v/>
      </c>
    </row>
    <row r="264" spans="13:17" x14ac:dyDescent="0.3">
      <c r="M264" s="6" t="str">
        <f t="shared" si="25"/>
        <v/>
      </c>
      <c r="N264" s="6" t="str">
        <f t="shared" si="26"/>
        <v/>
      </c>
      <c r="O264" s="6" t="str">
        <f t="shared" si="27"/>
        <v/>
      </c>
      <c r="P264" s="6" t="str">
        <f t="shared" si="28"/>
        <v/>
      </c>
      <c r="Q264" s="6" t="str">
        <f t="shared" si="29"/>
        <v/>
      </c>
    </row>
    <row r="265" spans="13:17" x14ac:dyDescent="0.3">
      <c r="M265" s="6" t="str">
        <f t="shared" si="25"/>
        <v/>
      </c>
      <c r="N265" s="6" t="str">
        <f t="shared" si="26"/>
        <v/>
      </c>
      <c r="O265" s="6" t="str">
        <f t="shared" si="27"/>
        <v/>
      </c>
      <c r="P265" s="6" t="str">
        <f t="shared" si="28"/>
        <v/>
      </c>
      <c r="Q265" s="6" t="str">
        <f t="shared" si="29"/>
        <v/>
      </c>
    </row>
    <row r="266" spans="13:17" x14ac:dyDescent="0.3">
      <c r="M266" s="6" t="str">
        <f t="shared" si="25"/>
        <v/>
      </c>
      <c r="N266" s="6" t="str">
        <f t="shared" si="26"/>
        <v/>
      </c>
      <c r="O266" s="6" t="str">
        <f t="shared" si="27"/>
        <v/>
      </c>
      <c r="P266" s="6" t="str">
        <f t="shared" si="28"/>
        <v/>
      </c>
      <c r="Q266" s="6" t="str">
        <f t="shared" si="29"/>
        <v/>
      </c>
    </row>
    <row r="267" spans="13:17" x14ac:dyDescent="0.3">
      <c r="M267" s="6" t="str">
        <f t="shared" si="25"/>
        <v/>
      </c>
      <c r="N267" s="6" t="str">
        <f t="shared" si="26"/>
        <v/>
      </c>
      <c r="O267" s="6" t="str">
        <f t="shared" si="27"/>
        <v/>
      </c>
      <c r="P267" s="6" t="str">
        <f t="shared" si="28"/>
        <v/>
      </c>
      <c r="Q267" s="6" t="str">
        <f t="shared" si="29"/>
        <v/>
      </c>
    </row>
    <row r="268" spans="13:17" x14ac:dyDescent="0.3">
      <c r="M268" s="6" t="str">
        <f t="shared" ref="M268:M331" si="30">IF(OR(I268="",F268=""),"",IF(OR(I268&lt;=0,F268&lt;=0),"",0.95*((I268^3)/F268)^0.385))</f>
        <v/>
      </c>
      <c r="N268" s="6" t="str">
        <f t="shared" ref="N268:N331" si="31">IF(OR(B268="",I268="",G268="",D268=""),"",IF(OR(B268&lt;=0,I268&lt;=0,G268&lt;=D268),"",(4*SQRT(B268)+1.5*I268)/(0.8*SQRT(G268-D268))))</f>
        <v/>
      </c>
      <c r="O268" s="6" t="str">
        <f t="shared" ref="O268:O331" si="32">IF(OR(I268="",C268="",H268=""),"",IF(OR(I268&lt;=0,H268&lt;=0,C268&lt;=0,C268&gt;100),"",((100*((I268*1000/0.3048)^0.8)*(((1000/C268)-9)^0.7))/(1900*SQRT(H268*100)))/60))</f>
        <v/>
      </c>
      <c r="P268" s="6" t="str">
        <f t="shared" ref="P268:P331" si="33">IF(OR(I268="",H268=""),"",IF(OR(I268&lt;=0,H268&lt;=0),"",(18*(I268^0.76)/(H268^0.19))/60))</f>
        <v/>
      </c>
      <c r="Q268" s="6" t="str">
        <f t="shared" ref="Q268:Q331" si="34">IF(OR(I268="",K268=""),"",IF(OR(I268&lt;=0,K268&lt;=0),"",I268/(3.6*K268)))</f>
        <v/>
      </c>
    </row>
    <row r="269" spans="13:17" x14ac:dyDescent="0.3">
      <c r="M269" s="6" t="str">
        <f t="shared" si="30"/>
        <v/>
      </c>
      <c r="N269" s="6" t="str">
        <f t="shared" si="31"/>
        <v/>
      </c>
      <c r="O269" s="6" t="str">
        <f t="shared" si="32"/>
        <v/>
      </c>
      <c r="P269" s="6" t="str">
        <f t="shared" si="33"/>
        <v/>
      </c>
      <c r="Q269" s="6" t="str">
        <f t="shared" si="34"/>
        <v/>
      </c>
    </row>
    <row r="270" spans="13:17" x14ac:dyDescent="0.3">
      <c r="M270" s="6" t="str">
        <f t="shared" si="30"/>
        <v/>
      </c>
      <c r="N270" s="6" t="str">
        <f t="shared" si="31"/>
        <v/>
      </c>
      <c r="O270" s="6" t="str">
        <f t="shared" si="32"/>
        <v/>
      </c>
      <c r="P270" s="6" t="str">
        <f t="shared" si="33"/>
        <v/>
      </c>
      <c r="Q270" s="6" t="str">
        <f t="shared" si="34"/>
        <v/>
      </c>
    </row>
    <row r="271" spans="13:17" x14ac:dyDescent="0.3">
      <c r="M271" s="6" t="str">
        <f t="shared" si="30"/>
        <v/>
      </c>
      <c r="N271" s="6" t="str">
        <f t="shared" si="31"/>
        <v/>
      </c>
      <c r="O271" s="6" t="str">
        <f t="shared" si="32"/>
        <v/>
      </c>
      <c r="P271" s="6" t="str">
        <f t="shared" si="33"/>
        <v/>
      </c>
      <c r="Q271" s="6" t="str">
        <f t="shared" si="34"/>
        <v/>
      </c>
    </row>
    <row r="272" spans="13:17" x14ac:dyDescent="0.3">
      <c r="M272" s="6" t="str">
        <f t="shared" si="30"/>
        <v/>
      </c>
      <c r="N272" s="6" t="str">
        <f t="shared" si="31"/>
        <v/>
      </c>
      <c r="O272" s="6" t="str">
        <f t="shared" si="32"/>
        <v/>
      </c>
      <c r="P272" s="6" t="str">
        <f t="shared" si="33"/>
        <v/>
      </c>
      <c r="Q272" s="6" t="str">
        <f t="shared" si="34"/>
        <v/>
      </c>
    </row>
    <row r="273" spans="13:17" x14ac:dyDescent="0.3">
      <c r="M273" s="6" t="str">
        <f t="shared" si="30"/>
        <v/>
      </c>
      <c r="N273" s="6" t="str">
        <f t="shared" si="31"/>
        <v/>
      </c>
      <c r="O273" s="6" t="str">
        <f t="shared" si="32"/>
        <v/>
      </c>
      <c r="P273" s="6" t="str">
        <f t="shared" si="33"/>
        <v/>
      </c>
      <c r="Q273" s="6" t="str">
        <f t="shared" si="34"/>
        <v/>
      </c>
    </row>
    <row r="274" spans="13:17" x14ac:dyDescent="0.3">
      <c r="M274" s="6" t="str">
        <f t="shared" si="30"/>
        <v/>
      </c>
      <c r="N274" s="6" t="str">
        <f t="shared" si="31"/>
        <v/>
      </c>
      <c r="O274" s="6" t="str">
        <f t="shared" si="32"/>
        <v/>
      </c>
      <c r="P274" s="6" t="str">
        <f t="shared" si="33"/>
        <v/>
      </c>
      <c r="Q274" s="6" t="str">
        <f t="shared" si="34"/>
        <v/>
      </c>
    </row>
    <row r="275" spans="13:17" x14ac:dyDescent="0.3">
      <c r="M275" s="6" t="str">
        <f t="shared" si="30"/>
        <v/>
      </c>
      <c r="N275" s="6" t="str">
        <f t="shared" si="31"/>
        <v/>
      </c>
      <c r="O275" s="6" t="str">
        <f t="shared" si="32"/>
        <v/>
      </c>
      <c r="P275" s="6" t="str">
        <f t="shared" si="33"/>
        <v/>
      </c>
      <c r="Q275" s="6" t="str">
        <f t="shared" si="34"/>
        <v/>
      </c>
    </row>
    <row r="276" spans="13:17" x14ac:dyDescent="0.3">
      <c r="M276" s="6" t="str">
        <f t="shared" si="30"/>
        <v/>
      </c>
      <c r="N276" s="6" t="str">
        <f t="shared" si="31"/>
        <v/>
      </c>
      <c r="O276" s="6" t="str">
        <f t="shared" si="32"/>
        <v/>
      </c>
      <c r="P276" s="6" t="str">
        <f t="shared" si="33"/>
        <v/>
      </c>
      <c r="Q276" s="6" t="str">
        <f t="shared" si="34"/>
        <v/>
      </c>
    </row>
    <row r="277" spans="13:17" x14ac:dyDescent="0.3">
      <c r="M277" s="6" t="str">
        <f t="shared" si="30"/>
        <v/>
      </c>
      <c r="N277" s="6" t="str">
        <f t="shared" si="31"/>
        <v/>
      </c>
      <c r="O277" s="6" t="str">
        <f t="shared" si="32"/>
        <v/>
      </c>
      <c r="P277" s="6" t="str">
        <f t="shared" si="33"/>
        <v/>
      </c>
      <c r="Q277" s="6" t="str">
        <f t="shared" si="34"/>
        <v/>
      </c>
    </row>
    <row r="278" spans="13:17" x14ac:dyDescent="0.3">
      <c r="M278" s="6" t="str">
        <f t="shared" si="30"/>
        <v/>
      </c>
      <c r="N278" s="6" t="str">
        <f t="shared" si="31"/>
        <v/>
      </c>
      <c r="O278" s="6" t="str">
        <f t="shared" si="32"/>
        <v/>
      </c>
      <c r="P278" s="6" t="str">
        <f t="shared" si="33"/>
        <v/>
      </c>
      <c r="Q278" s="6" t="str">
        <f t="shared" si="34"/>
        <v/>
      </c>
    </row>
    <row r="279" spans="13:17" x14ac:dyDescent="0.3">
      <c r="M279" s="6" t="str">
        <f t="shared" si="30"/>
        <v/>
      </c>
      <c r="N279" s="6" t="str">
        <f t="shared" si="31"/>
        <v/>
      </c>
      <c r="O279" s="6" t="str">
        <f t="shared" si="32"/>
        <v/>
      </c>
      <c r="P279" s="6" t="str">
        <f t="shared" si="33"/>
        <v/>
      </c>
      <c r="Q279" s="6" t="str">
        <f t="shared" si="34"/>
        <v/>
      </c>
    </row>
    <row r="280" spans="13:17" x14ac:dyDescent="0.3">
      <c r="M280" s="6" t="str">
        <f t="shared" si="30"/>
        <v/>
      </c>
      <c r="N280" s="6" t="str">
        <f t="shared" si="31"/>
        <v/>
      </c>
      <c r="O280" s="6" t="str">
        <f t="shared" si="32"/>
        <v/>
      </c>
      <c r="P280" s="6" t="str">
        <f t="shared" si="33"/>
        <v/>
      </c>
      <c r="Q280" s="6" t="str">
        <f t="shared" si="34"/>
        <v/>
      </c>
    </row>
    <row r="281" spans="13:17" x14ac:dyDescent="0.3">
      <c r="M281" s="6" t="str">
        <f t="shared" si="30"/>
        <v/>
      </c>
      <c r="N281" s="6" t="str">
        <f t="shared" si="31"/>
        <v/>
      </c>
      <c r="O281" s="6" t="str">
        <f t="shared" si="32"/>
        <v/>
      </c>
      <c r="P281" s="6" t="str">
        <f t="shared" si="33"/>
        <v/>
      </c>
      <c r="Q281" s="6" t="str">
        <f t="shared" si="34"/>
        <v/>
      </c>
    </row>
    <row r="282" spans="13:17" x14ac:dyDescent="0.3">
      <c r="M282" s="6" t="str">
        <f t="shared" si="30"/>
        <v/>
      </c>
      <c r="N282" s="6" t="str">
        <f t="shared" si="31"/>
        <v/>
      </c>
      <c r="O282" s="6" t="str">
        <f t="shared" si="32"/>
        <v/>
      </c>
      <c r="P282" s="6" t="str">
        <f t="shared" si="33"/>
        <v/>
      </c>
      <c r="Q282" s="6" t="str">
        <f t="shared" si="34"/>
        <v/>
      </c>
    </row>
    <row r="283" spans="13:17" x14ac:dyDescent="0.3">
      <c r="M283" s="6" t="str">
        <f t="shared" si="30"/>
        <v/>
      </c>
      <c r="N283" s="6" t="str">
        <f t="shared" si="31"/>
        <v/>
      </c>
      <c r="O283" s="6" t="str">
        <f t="shared" si="32"/>
        <v/>
      </c>
      <c r="P283" s="6" t="str">
        <f t="shared" si="33"/>
        <v/>
      </c>
      <c r="Q283" s="6" t="str">
        <f t="shared" si="34"/>
        <v/>
      </c>
    </row>
    <row r="284" spans="13:17" x14ac:dyDescent="0.3">
      <c r="M284" s="6" t="str">
        <f t="shared" si="30"/>
        <v/>
      </c>
      <c r="N284" s="6" t="str">
        <f t="shared" si="31"/>
        <v/>
      </c>
      <c r="O284" s="6" t="str">
        <f t="shared" si="32"/>
        <v/>
      </c>
      <c r="P284" s="6" t="str">
        <f t="shared" si="33"/>
        <v/>
      </c>
      <c r="Q284" s="6" t="str">
        <f t="shared" si="34"/>
        <v/>
      </c>
    </row>
    <row r="285" spans="13:17" x14ac:dyDescent="0.3">
      <c r="M285" s="6" t="str">
        <f t="shared" si="30"/>
        <v/>
      </c>
      <c r="N285" s="6" t="str">
        <f t="shared" si="31"/>
        <v/>
      </c>
      <c r="O285" s="6" t="str">
        <f t="shared" si="32"/>
        <v/>
      </c>
      <c r="P285" s="6" t="str">
        <f t="shared" si="33"/>
        <v/>
      </c>
      <c r="Q285" s="6" t="str">
        <f t="shared" si="34"/>
        <v/>
      </c>
    </row>
    <row r="286" spans="13:17" x14ac:dyDescent="0.3">
      <c r="M286" s="6" t="str">
        <f t="shared" si="30"/>
        <v/>
      </c>
      <c r="N286" s="6" t="str">
        <f t="shared" si="31"/>
        <v/>
      </c>
      <c r="O286" s="6" t="str">
        <f t="shared" si="32"/>
        <v/>
      </c>
      <c r="P286" s="6" t="str">
        <f t="shared" si="33"/>
        <v/>
      </c>
      <c r="Q286" s="6" t="str">
        <f t="shared" si="34"/>
        <v/>
      </c>
    </row>
    <row r="287" spans="13:17" x14ac:dyDescent="0.3">
      <c r="M287" s="6" t="str">
        <f t="shared" si="30"/>
        <v/>
      </c>
      <c r="N287" s="6" t="str">
        <f t="shared" si="31"/>
        <v/>
      </c>
      <c r="O287" s="6" t="str">
        <f t="shared" si="32"/>
        <v/>
      </c>
      <c r="P287" s="6" t="str">
        <f t="shared" si="33"/>
        <v/>
      </c>
      <c r="Q287" s="6" t="str">
        <f t="shared" si="34"/>
        <v/>
      </c>
    </row>
    <row r="288" spans="13:17" x14ac:dyDescent="0.3">
      <c r="M288" s="6" t="str">
        <f t="shared" si="30"/>
        <v/>
      </c>
      <c r="N288" s="6" t="str">
        <f t="shared" si="31"/>
        <v/>
      </c>
      <c r="O288" s="6" t="str">
        <f t="shared" si="32"/>
        <v/>
      </c>
      <c r="P288" s="6" t="str">
        <f t="shared" si="33"/>
        <v/>
      </c>
      <c r="Q288" s="6" t="str">
        <f t="shared" si="34"/>
        <v/>
      </c>
    </row>
    <row r="289" spans="13:17" x14ac:dyDescent="0.3">
      <c r="M289" s="6" t="str">
        <f t="shared" si="30"/>
        <v/>
      </c>
      <c r="N289" s="6" t="str">
        <f t="shared" si="31"/>
        <v/>
      </c>
      <c r="O289" s="6" t="str">
        <f t="shared" si="32"/>
        <v/>
      </c>
      <c r="P289" s="6" t="str">
        <f t="shared" si="33"/>
        <v/>
      </c>
      <c r="Q289" s="6" t="str">
        <f t="shared" si="34"/>
        <v/>
      </c>
    </row>
    <row r="290" spans="13:17" x14ac:dyDescent="0.3">
      <c r="M290" s="6" t="str">
        <f t="shared" si="30"/>
        <v/>
      </c>
      <c r="N290" s="6" t="str">
        <f t="shared" si="31"/>
        <v/>
      </c>
      <c r="O290" s="6" t="str">
        <f t="shared" si="32"/>
        <v/>
      </c>
      <c r="P290" s="6" t="str">
        <f t="shared" si="33"/>
        <v/>
      </c>
      <c r="Q290" s="6" t="str">
        <f t="shared" si="34"/>
        <v/>
      </c>
    </row>
    <row r="291" spans="13:17" x14ac:dyDescent="0.3">
      <c r="M291" s="6" t="str">
        <f t="shared" si="30"/>
        <v/>
      </c>
      <c r="N291" s="6" t="str">
        <f t="shared" si="31"/>
        <v/>
      </c>
      <c r="O291" s="6" t="str">
        <f t="shared" si="32"/>
        <v/>
      </c>
      <c r="P291" s="6" t="str">
        <f t="shared" si="33"/>
        <v/>
      </c>
      <c r="Q291" s="6" t="str">
        <f t="shared" si="34"/>
        <v/>
      </c>
    </row>
    <row r="292" spans="13:17" x14ac:dyDescent="0.3">
      <c r="M292" s="6" t="str">
        <f t="shared" si="30"/>
        <v/>
      </c>
      <c r="N292" s="6" t="str">
        <f t="shared" si="31"/>
        <v/>
      </c>
      <c r="O292" s="6" t="str">
        <f t="shared" si="32"/>
        <v/>
      </c>
      <c r="P292" s="6" t="str">
        <f t="shared" si="33"/>
        <v/>
      </c>
      <c r="Q292" s="6" t="str">
        <f t="shared" si="34"/>
        <v/>
      </c>
    </row>
    <row r="293" spans="13:17" x14ac:dyDescent="0.3">
      <c r="M293" s="6" t="str">
        <f t="shared" si="30"/>
        <v/>
      </c>
      <c r="N293" s="6" t="str">
        <f t="shared" si="31"/>
        <v/>
      </c>
      <c r="O293" s="6" t="str">
        <f t="shared" si="32"/>
        <v/>
      </c>
      <c r="P293" s="6" t="str">
        <f t="shared" si="33"/>
        <v/>
      </c>
      <c r="Q293" s="6" t="str">
        <f t="shared" si="34"/>
        <v/>
      </c>
    </row>
    <row r="294" spans="13:17" x14ac:dyDescent="0.3">
      <c r="M294" s="6" t="str">
        <f t="shared" si="30"/>
        <v/>
      </c>
      <c r="N294" s="6" t="str">
        <f t="shared" si="31"/>
        <v/>
      </c>
      <c r="O294" s="6" t="str">
        <f t="shared" si="32"/>
        <v/>
      </c>
      <c r="P294" s="6" t="str">
        <f t="shared" si="33"/>
        <v/>
      </c>
      <c r="Q294" s="6" t="str">
        <f t="shared" si="34"/>
        <v/>
      </c>
    </row>
    <row r="295" spans="13:17" x14ac:dyDescent="0.3">
      <c r="M295" s="6" t="str">
        <f t="shared" si="30"/>
        <v/>
      </c>
      <c r="N295" s="6" t="str">
        <f t="shared" si="31"/>
        <v/>
      </c>
      <c r="O295" s="6" t="str">
        <f t="shared" si="32"/>
        <v/>
      </c>
      <c r="P295" s="6" t="str">
        <f t="shared" si="33"/>
        <v/>
      </c>
      <c r="Q295" s="6" t="str">
        <f t="shared" si="34"/>
        <v/>
      </c>
    </row>
    <row r="296" spans="13:17" x14ac:dyDescent="0.3">
      <c r="M296" s="6" t="str">
        <f t="shared" si="30"/>
        <v/>
      </c>
      <c r="N296" s="6" t="str">
        <f t="shared" si="31"/>
        <v/>
      </c>
      <c r="O296" s="6" t="str">
        <f t="shared" si="32"/>
        <v/>
      </c>
      <c r="P296" s="6" t="str">
        <f t="shared" si="33"/>
        <v/>
      </c>
      <c r="Q296" s="6" t="str">
        <f t="shared" si="34"/>
        <v/>
      </c>
    </row>
    <row r="297" spans="13:17" x14ac:dyDescent="0.3">
      <c r="M297" s="6" t="str">
        <f t="shared" si="30"/>
        <v/>
      </c>
      <c r="N297" s="6" t="str">
        <f t="shared" si="31"/>
        <v/>
      </c>
      <c r="O297" s="6" t="str">
        <f t="shared" si="32"/>
        <v/>
      </c>
      <c r="P297" s="6" t="str">
        <f t="shared" si="33"/>
        <v/>
      </c>
      <c r="Q297" s="6" t="str">
        <f t="shared" si="34"/>
        <v/>
      </c>
    </row>
    <row r="298" spans="13:17" x14ac:dyDescent="0.3">
      <c r="M298" s="6" t="str">
        <f t="shared" si="30"/>
        <v/>
      </c>
      <c r="N298" s="6" t="str">
        <f t="shared" si="31"/>
        <v/>
      </c>
      <c r="O298" s="6" t="str">
        <f t="shared" si="32"/>
        <v/>
      </c>
      <c r="P298" s="6" t="str">
        <f t="shared" si="33"/>
        <v/>
      </c>
      <c r="Q298" s="6" t="str">
        <f t="shared" si="34"/>
        <v/>
      </c>
    </row>
    <row r="299" spans="13:17" x14ac:dyDescent="0.3">
      <c r="M299" s="6" t="str">
        <f t="shared" si="30"/>
        <v/>
      </c>
      <c r="N299" s="6" t="str">
        <f t="shared" si="31"/>
        <v/>
      </c>
      <c r="O299" s="6" t="str">
        <f t="shared" si="32"/>
        <v/>
      </c>
      <c r="P299" s="6" t="str">
        <f t="shared" si="33"/>
        <v/>
      </c>
      <c r="Q299" s="6" t="str">
        <f t="shared" si="34"/>
        <v/>
      </c>
    </row>
    <row r="300" spans="13:17" x14ac:dyDescent="0.3">
      <c r="M300" s="6" t="str">
        <f t="shared" si="30"/>
        <v/>
      </c>
      <c r="N300" s="6" t="str">
        <f t="shared" si="31"/>
        <v/>
      </c>
      <c r="O300" s="6" t="str">
        <f t="shared" si="32"/>
        <v/>
      </c>
      <c r="P300" s="6" t="str">
        <f t="shared" si="33"/>
        <v/>
      </c>
      <c r="Q300" s="6" t="str">
        <f t="shared" si="34"/>
        <v/>
      </c>
    </row>
    <row r="301" spans="13:17" x14ac:dyDescent="0.3">
      <c r="M301" s="6" t="str">
        <f t="shared" si="30"/>
        <v/>
      </c>
      <c r="N301" s="6" t="str">
        <f t="shared" si="31"/>
        <v/>
      </c>
      <c r="O301" s="6" t="str">
        <f t="shared" si="32"/>
        <v/>
      </c>
      <c r="P301" s="6" t="str">
        <f t="shared" si="33"/>
        <v/>
      </c>
      <c r="Q301" s="6" t="str">
        <f t="shared" si="34"/>
        <v/>
      </c>
    </row>
    <row r="302" spans="13:17" x14ac:dyDescent="0.3">
      <c r="M302" s="6" t="str">
        <f t="shared" si="30"/>
        <v/>
      </c>
      <c r="N302" s="6" t="str">
        <f t="shared" si="31"/>
        <v/>
      </c>
      <c r="O302" s="6" t="str">
        <f t="shared" si="32"/>
        <v/>
      </c>
      <c r="P302" s="6" t="str">
        <f t="shared" si="33"/>
        <v/>
      </c>
      <c r="Q302" s="6" t="str">
        <f t="shared" si="34"/>
        <v/>
      </c>
    </row>
    <row r="303" spans="13:17" x14ac:dyDescent="0.3">
      <c r="M303" s="6" t="str">
        <f t="shared" si="30"/>
        <v/>
      </c>
      <c r="N303" s="6" t="str">
        <f t="shared" si="31"/>
        <v/>
      </c>
      <c r="O303" s="6" t="str">
        <f t="shared" si="32"/>
        <v/>
      </c>
      <c r="P303" s="6" t="str">
        <f t="shared" si="33"/>
        <v/>
      </c>
      <c r="Q303" s="6" t="str">
        <f t="shared" si="34"/>
        <v/>
      </c>
    </row>
    <row r="304" spans="13:17" x14ac:dyDescent="0.3">
      <c r="M304" s="6" t="str">
        <f t="shared" si="30"/>
        <v/>
      </c>
      <c r="N304" s="6" t="str">
        <f t="shared" si="31"/>
        <v/>
      </c>
      <c r="O304" s="6" t="str">
        <f t="shared" si="32"/>
        <v/>
      </c>
      <c r="P304" s="6" t="str">
        <f t="shared" si="33"/>
        <v/>
      </c>
      <c r="Q304" s="6" t="str">
        <f t="shared" si="34"/>
        <v/>
      </c>
    </row>
    <row r="305" spans="13:17" x14ac:dyDescent="0.3">
      <c r="M305" s="6" t="str">
        <f t="shared" si="30"/>
        <v/>
      </c>
      <c r="N305" s="6" t="str">
        <f t="shared" si="31"/>
        <v/>
      </c>
      <c r="O305" s="6" t="str">
        <f t="shared" si="32"/>
        <v/>
      </c>
      <c r="P305" s="6" t="str">
        <f t="shared" si="33"/>
        <v/>
      </c>
      <c r="Q305" s="6" t="str">
        <f t="shared" si="34"/>
        <v/>
      </c>
    </row>
    <row r="306" spans="13:17" x14ac:dyDescent="0.3">
      <c r="M306" s="6" t="str">
        <f t="shared" si="30"/>
        <v/>
      </c>
      <c r="N306" s="6" t="str">
        <f t="shared" si="31"/>
        <v/>
      </c>
      <c r="O306" s="6" t="str">
        <f t="shared" si="32"/>
        <v/>
      </c>
      <c r="P306" s="6" t="str">
        <f t="shared" si="33"/>
        <v/>
      </c>
      <c r="Q306" s="6" t="str">
        <f t="shared" si="34"/>
        <v/>
      </c>
    </row>
    <row r="307" spans="13:17" x14ac:dyDescent="0.3">
      <c r="M307" s="6" t="str">
        <f t="shared" si="30"/>
        <v/>
      </c>
      <c r="N307" s="6" t="str">
        <f t="shared" si="31"/>
        <v/>
      </c>
      <c r="O307" s="6" t="str">
        <f t="shared" si="32"/>
        <v/>
      </c>
      <c r="P307" s="6" t="str">
        <f t="shared" si="33"/>
        <v/>
      </c>
      <c r="Q307" s="6" t="str">
        <f t="shared" si="34"/>
        <v/>
      </c>
    </row>
    <row r="308" spans="13:17" x14ac:dyDescent="0.3">
      <c r="M308" s="6" t="str">
        <f t="shared" si="30"/>
        <v/>
      </c>
      <c r="N308" s="6" t="str">
        <f t="shared" si="31"/>
        <v/>
      </c>
      <c r="O308" s="6" t="str">
        <f t="shared" si="32"/>
        <v/>
      </c>
      <c r="P308" s="6" t="str">
        <f t="shared" si="33"/>
        <v/>
      </c>
      <c r="Q308" s="6" t="str">
        <f t="shared" si="34"/>
        <v/>
      </c>
    </row>
    <row r="309" spans="13:17" x14ac:dyDescent="0.3">
      <c r="M309" s="6" t="str">
        <f t="shared" si="30"/>
        <v/>
      </c>
      <c r="N309" s="6" t="str">
        <f t="shared" si="31"/>
        <v/>
      </c>
      <c r="O309" s="6" t="str">
        <f t="shared" si="32"/>
        <v/>
      </c>
      <c r="P309" s="6" t="str">
        <f t="shared" si="33"/>
        <v/>
      </c>
      <c r="Q309" s="6" t="str">
        <f t="shared" si="34"/>
        <v/>
      </c>
    </row>
    <row r="310" spans="13:17" x14ac:dyDescent="0.3">
      <c r="M310" s="6" t="str">
        <f t="shared" si="30"/>
        <v/>
      </c>
      <c r="N310" s="6" t="str">
        <f t="shared" si="31"/>
        <v/>
      </c>
      <c r="O310" s="6" t="str">
        <f t="shared" si="32"/>
        <v/>
      </c>
      <c r="P310" s="6" t="str">
        <f t="shared" si="33"/>
        <v/>
      </c>
      <c r="Q310" s="6" t="str">
        <f t="shared" si="34"/>
        <v/>
      </c>
    </row>
    <row r="311" spans="13:17" x14ac:dyDescent="0.3">
      <c r="M311" s="6" t="str">
        <f t="shared" si="30"/>
        <v/>
      </c>
      <c r="N311" s="6" t="str">
        <f t="shared" si="31"/>
        <v/>
      </c>
      <c r="O311" s="6" t="str">
        <f t="shared" si="32"/>
        <v/>
      </c>
      <c r="P311" s="6" t="str">
        <f t="shared" si="33"/>
        <v/>
      </c>
      <c r="Q311" s="6" t="str">
        <f t="shared" si="34"/>
        <v/>
      </c>
    </row>
    <row r="312" spans="13:17" x14ac:dyDescent="0.3">
      <c r="M312" s="6" t="str">
        <f t="shared" si="30"/>
        <v/>
      </c>
      <c r="N312" s="6" t="str">
        <f t="shared" si="31"/>
        <v/>
      </c>
      <c r="O312" s="6" t="str">
        <f t="shared" si="32"/>
        <v/>
      </c>
      <c r="P312" s="6" t="str">
        <f t="shared" si="33"/>
        <v/>
      </c>
      <c r="Q312" s="6" t="str">
        <f t="shared" si="34"/>
        <v/>
      </c>
    </row>
    <row r="313" spans="13:17" x14ac:dyDescent="0.3">
      <c r="M313" s="6" t="str">
        <f t="shared" si="30"/>
        <v/>
      </c>
      <c r="N313" s="6" t="str">
        <f t="shared" si="31"/>
        <v/>
      </c>
      <c r="O313" s="6" t="str">
        <f t="shared" si="32"/>
        <v/>
      </c>
      <c r="P313" s="6" t="str">
        <f t="shared" si="33"/>
        <v/>
      </c>
      <c r="Q313" s="6" t="str">
        <f t="shared" si="34"/>
        <v/>
      </c>
    </row>
    <row r="314" spans="13:17" x14ac:dyDescent="0.3">
      <c r="M314" s="6" t="str">
        <f t="shared" si="30"/>
        <v/>
      </c>
      <c r="N314" s="6" t="str">
        <f t="shared" si="31"/>
        <v/>
      </c>
      <c r="O314" s="6" t="str">
        <f t="shared" si="32"/>
        <v/>
      </c>
      <c r="P314" s="6" t="str">
        <f t="shared" si="33"/>
        <v/>
      </c>
      <c r="Q314" s="6" t="str">
        <f t="shared" si="34"/>
        <v/>
      </c>
    </row>
    <row r="315" spans="13:17" x14ac:dyDescent="0.3">
      <c r="M315" s="6" t="str">
        <f t="shared" si="30"/>
        <v/>
      </c>
      <c r="N315" s="6" t="str">
        <f t="shared" si="31"/>
        <v/>
      </c>
      <c r="O315" s="6" t="str">
        <f t="shared" si="32"/>
        <v/>
      </c>
      <c r="P315" s="6" t="str">
        <f t="shared" si="33"/>
        <v/>
      </c>
      <c r="Q315" s="6" t="str">
        <f t="shared" si="34"/>
        <v/>
      </c>
    </row>
    <row r="316" spans="13:17" x14ac:dyDescent="0.3">
      <c r="M316" s="6" t="str">
        <f t="shared" si="30"/>
        <v/>
      </c>
      <c r="N316" s="6" t="str">
        <f t="shared" si="31"/>
        <v/>
      </c>
      <c r="O316" s="6" t="str">
        <f t="shared" si="32"/>
        <v/>
      </c>
      <c r="P316" s="6" t="str">
        <f t="shared" si="33"/>
        <v/>
      </c>
      <c r="Q316" s="6" t="str">
        <f t="shared" si="34"/>
        <v/>
      </c>
    </row>
    <row r="317" spans="13:17" x14ac:dyDescent="0.3">
      <c r="M317" s="6" t="str">
        <f t="shared" si="30"/>
        <v/>
      </c>
      <c r="N317" s="6" t="str">
        <f t="shared" si="31"/>
        <v/>
      </c>
      <c r="O317" s="6" t="str">
        <f t="shared" si="32"/>
        <v/>
      </c>
      <c r="P317" s="6" t="str">
        <f t="shared" si="33"/>
        <v/>
      </c>
      <c r="Q317" s="6" t="str">
        <f t="shared" si="34"/>
        <v/>
      </c>
    </row>
    <row r="318" spans="13:17" x14ac:dyDescent="0.3">
      <c r="M318" s="6" t="str">
        <f t="shared" si="30"/>
        <v/>
      </c>
      <c r="N318" s="6" t="str">
        <f t="shared" si="31"/>
        <v/>
      </c>
      <c r="O318" s="6" t="str">
        <f t="shared" si="32"/>
        <v/>
      </c>
      <c r="P318" s="6" t="str">
        <f t="shared" si="33"/>
        <v/>
      </c>
      <c r="Q318" s="6" t="str">
        <f t="shared" si="34"/>
        <v/>
      </c>
    </row>
    <row r="319" spans="13:17" x14ac:dyDescent="0.3">
      <c r="M319" s="6" t="str">
        <f t="shared" si="30"/>
        <v/>
      </c>
      <c r="N319" s="6" t="str">
        <f t="shared" si="31"/>
        <v/>
      </c>
      <c r="O319" s="6" t="str">
        <f t="shared" si="32"/>
        <v/>
      </c>
      <c r="P319" s="6" t="str">
        <f t="shared" si="33"/>
        <v/>
      </c>
      <c r="Q319" s="6" t="str">
        <f t="shared" si="34"/>
        <v/>
      </c>
    </row>
    <row r="320" spans="13:17" x14ac:dyDescent="0.3">
      <c r="M320" s="6" t="str">
        <f t="shared" si="30"/>
        <v/>
      </c>
      <c r="N320" s="6" t="str">
        <f t="shared" si="31"/>
        <v/>
      </c>
      <c r="O320" s="6" t="str">
        <f t="shared" si="32"/>
        <v/>
      </c>
      <c r="P320" s="6" t="str">
        <f t="shared" si="33"/>
        <v/>
      </c>
      <c r="Q320" s="6" t="str">
        <f t="shared" si="34"/>
        <v/>
      </c>
    </row>
    <row r="321" spans="13:17" x14ac:dyDescent="0.3">
      <c r="M321" s="6" t="str">
        <f t="shared" si="30"/>
        <v/>
      </c>
      <c r="N321" s="6" t="str">
        <f t="shared" si="31"/>
        <v/>
      </c>
      <c r="O321" s="6" t="str">
        <f t="shared" si="32"/>
        <v/>
      </c>
      <c r="P321" s="6" t="str">
        <f t="shared" si="33"/>
        <v/>
      </c>
      <c r="Q321" s="6" t="str">
        <f t="shared" si="34"/>
        <v/>
      </c>
    </row>
    <row r="322" spans="13:17" x14ac:dyDescent="0.3">
      <c r="M322" s="6" t="str">
        <f t="shared" si="30"/>
        <v/>
      </c>
      <c r="N322" s="6" t="str">
        <f t="shared" si="31"/>
        <v/>
      </c>
      <c r="O322" s="6" t="str">
        <f t="shared" si="32"/>
        <v/>
      </c>
      <c r="P322" s="6" t="str">
        <f t="shared" si="33"/>
        <v/>
      </c>
      <c r="Q322" s="6" t="str">
        <f t="shared" si="34"/>
        <v/>
      </c>
    </row>
    <row r="323" spans="13:17" x14ac:dyDescent="0.3">
      <c r="M323" s="6" t="str">
        <f t="shared" si="30"/>
        <v/>
      </c>
      <c r="N323" s="6" t="str">
        <f t="shared" si="31"/>
        <v/>
      </c>
      <c r="O323" s="6" t="str">
        <f t="shared" si="32"/>
        <v/>
      </c>
      <c r="P323" s="6" t="str">
        <f t="shared" si="33"/>
        <v/>
      </c>
      <c r="Q323" s="6" t="str">
        <f t="shared" si="34"/>
        <v/>
      </c>
    </row>
    <row r="324" spans="13:17" x14ac:dyDescent="0.3">
      <c r="M324" s="6" t="str">
        <f t="shared" si="30"/>
        <v/>
      </c>
      <c r="N324" s="6" t="str">
        <f t="shared" si="31"/>
        <v/>
      </c>
      <c r="O324" s="6" t="str">
        <f t="shared" si="32"/>
        <v/>
      </c>
      <c r="P324" s="6" t="str">
        <f t="shared" si="33"/>
        <v/>
      </c>
      <c r="Q324" s="6" t="str">
        <f t="shared" si="34"/>
        <v/>
      </c>
    </row>
    <row r="325" spans="13:17" x14ac:dyDescent="0.3">
      <c r="M325" s="6" t="str">
        <f t="shared" si="30"/>
        <v/>
      </c>
      <c r="N325" s="6" t="str">
        <f t="shared" si="31"/>
        <v/>
      </c>
      <c r="O325" s="6" t="str">
        <f t="shared" si="32"/>
        <v/>
      </c>
      <c r="P325" s="6" t="str">
        <f t="shared" si="33"/>
        <v/>
      </c>
      <c r="Q325" s="6" t="str">
        <f t="shared" si="34"/>
        <v/>
      </c>
    </row>
    <row r="326" spans="13:17" x14ac:dyDescent="0.3">
      <c r="M326" s="6" t="str">
        <f t="shared" si="30"/>
        <v/>
      </c>
      <c r="N326" s="6" t="str">
        <f t="shared" si="31"/>
        <v/>
      </c>
      <c r="O326" s="6" t="str">
        <f t="shared" si="32"/>
        <v/>
      </c>
      <c r="P326" s="6" t="str">
        <f t="shared" si="33"/>
        <v/>
      </c>
      <c r="Q326" s="6" t="str">
        <f t="shared" si="34"/>
        <v/>
      </c>
    </row>
    <row r="327" spans="13:17" x14ac:dyDescent="0.3">
      <c r="M327" s="6" t="str">
        <f t="shared" si="30"/>
        <v/>
      </c>
      <c r="N327" s="6" t="str">
        <f t="shared" si="31"/>
        <v/>
      </c>
      <c r="O327" s="6" t="str">
        <f t="shared" si="32"/>
        <v/>
      </c>
      <c r="P327" s="6" t="str">
        <f t="shared" si="33"/>
        <v/>
      </c>
      <c r="Q327" s="6" t="str">
        <f t="shared" si="34"/>
        <v/>
      </c>
    </row>
    <row r="328" spans="13:17" x14ac:dyDescent="0.3">
      <c r="M328" s="6" t="str">
        <f t="shared" si="30"/>
        <v/>
      </c>
      <c r="N328" s="6" t="str">
        <f t="shared" si="31"/>
        <v/>
      </c>
      <c r="O328" s="6" t="str">
        <f t="shared" si="32"/>
        <v/>
      </c>
      <c r="P328" s="6" t="str">
        <f t="shared" si="33"/>
        <v/>
      </c>
      <c r="Q328" s="6" t="str">
        <f t="shared" si="34"/>
        <v/>
      </c>
    </row>
    <row r="329" spans="13:17" x14ac:dyDescent="0.3">
      <c r="M329" s="6" t="str">
        <f t="shared" si="30"/>
        <v/>
      </c>
      <c r="N329" s="6" t="str">
        <f t="shared" si="31"/>
        <v/>
      </c>
      <c r="O329" s="6" t="str">
        <f t="shared" si="32"/>
        <v/>
      </c>
      <c r="P329" s="6" t="str">
        <f t="shared" si="33"/>
        <v/>
      </c>
      <c r="Q329" s="6" t="str">
        <f t="shared" si="34"/>
        <v/>
      </c>
    </row>
    <row r="330" spans="13:17" x14ac:dyDescent="0.3">
      <c r="M330" s="6" t="str">
        <f t="shared" si="30"/>
        <v/>
      </c>
      <c r="N330" s="6" t="str">
        <f t="shared" si="31"/>
        <v/>
      </c>
      <c r="O330" s="6" t="str">
        <f t="shared" si="32"/>
        <v/>
      </c>
      <c r="P330" s="6" t="str">
        <f t="shared" si="33"/>
        <v/>
      </c>
      <c r="Q330" s="6" t="str">
        <f t="shared" si="34"/>
        <v/>
      </c>
    </row>
    <row r="331" spans="13:17" x14ac:dyDescent="0.3">
      <c r="M331" s="6" t="str">
        <f t="shared" si="30"/>
        <v/>
      </c>
      <c r="N331" s="6" t="str">
        <f t="shared" si="31"/>
        <v/>
      </c>
      <c r="O331" s="6" t="str">
        <f t="shared" si="32"/>
        <v/>
      </c>
      <c r="P331" s="6" t="str">
        <f t="shared" si="33"/>
        <v/>
      </c>
      <c r="Q331" s="6" t="str">
        <f t="shared" si="34"/>
        <v/>
      </c>
    </row>
    <row r="332" spans="13:17" x14ac:dyDescent="0.3">
      <c r="M332" s="6" t="str">
        <f t="shared" ref="M332:M380" si="35">IF(OR(I332="",F332=""),"",IF(OR(I332&lt;=0,F332&lt;=0),"",0.95*((I332^3)/F332)^0.385))</f>
        <v/>
      </c>
      <c r="N332" s="6" t="str">
        <f t="shared" ref="N332:N380" si="36">IF(OR(B332="",I332="",G332="",D332=""),"",IF(OR(B332&lt;=0,I332&lt;=0,G332&lt;=D332),"",(4*SQRT(B332)+1.5*I332)/(0.8*SQRT(G332-D332))))</f>
        <v/>
      </c>
      <c r="O332" s="6" t="str">
        <f t="shared" ref="O332:O380" si="37">IF(OR(I332="",C332="",H332=""),"",IF(OR(I332&lt;=0,H332&lt;=0,C332&lt;=0,C332&gt;100),"",((100*((I332*1000/0.3048)^0.8)*(((1000/C332)-9)^0.7))/(1900*SQRT(H332*100)))/60))</f>
        <v/>
      </c>
      <c r="P332" s="6" t="str">
        <f t="shared" ref="P332:P380" si="38">IF(OR(I332="",H332=""),"",IF(OR(I332&lt;=0,H332&lt;=0),"",(18*(I332^0.76)/(H332^0.19))/60))</f>
        <v/>
      </c>
      <c r="Q332" s="6" t="str">
        <f t="shared" ref="Q332:Q380" si="39">IF(OR(I332="",K332=""),"",IF(OR(I332&lt;=0,K332&lt;=0),"",I332/(3.6*K332)))</f>
        <v/>
      </c>
    </row>
    <row r="333" spans="13:17" x14ac:dyDescent="0.3">
      <c r="M333" s="6" t="str">
        <f t="shared" si="35"/>
        <v/>
      </c>
      <c r="N333" s="6" t="str">
        <f t="shared" si="36"/>
        <v/>
      </c>
      <c r="O333" s="6" t="str">
        <f t="shared" si="37"/>
        <v/>
      </c>
      <c r="P333" s="6" t="str">
        <f t="shared" si="38"/>
        <v/>
      </c>
      <c r="Q333" s="6" t="str">
        <f t="shared" si="39"/>
        <v/>
      </c>
    </row>
    <row r="334" spans="13:17" x14ac:dyDescent="0.3">
      <c r="M334" s="6" t="str">
        <f t="shared" si="35"/>
        <v/>
      </c>
      <c r="N334" s="6" t="str">
        <f t="shared" si="36"/>
        <v/>
      </c>
      <c r="O334" s="6" t="str">
        <f t="shared" si="37"/>
        <v/>
      </c>
      <c r="P334" s="6" t="str">
        <f t="shared" si="38"/>
        <v/>
      </c>
      <c r="Q334" s="6" t="str">
        <f t="shared" si="39"/>
        <v/>
      </c>
    </row>
    <row r="335" spans="13:17" x14ac:dyDescent="0.3">
      <c r="M335" s="6" t="str">
        <f t="shared" si="35"/>
        <v/>
      </c>
      <c r="N335" s="6" t="str">
        <f t="shared" si="36"/>
        <v/>
      </c>
      <c r="O335" s="6" t="str">
        <f t="shared" si="37"/>
        <v/>
      </c>
      <c r="P335" s="6" t="str">
        <f t="shared" si="38"/>
        <v/>
      </c>
      <c r="Q335" s="6" t="str">
        <f t="shared" si="39"/>
        <v/>
      </c>
    </row>
    <row r="336" spans="13:17" x14ac:dyDescent="0.3">
      <c r="M336" s="6" t="str">
        <f t="shared" si="35"/>
        <v/>
      </c>
      <c r="N336" s="6" t="str">
        <f t="shared" si="36"/>
        <v/>
      </c>
      <c r="O336" s="6" t="str">
        <f t="shared" si="37"/>
        <v/>
      </c>
      <c r="P336" s="6" t="str">
        <f t="shared" si="38"/>
        <v/>
      </c>
      <c r="Q336" s="6" t="str">
        <f t="shared" si="39"/>
        <v/>
      </c>
    </row>
    <row r="337" spans="13:17" x14ac:dyDescent="0.3">
      <c r="M337" s="6" t="str">
        <f t="shared" si="35"/>
        <v/>
      </c>
      <c r="N337" s="6" t="str">
        <f t="shared" si="36"/>
        <v/>
      </c>
      <c r="O337" s="6" t="str">
        <f t="shared" si="37"/>
        <v/>
      </c>
      <c r="P337" s="6" t="str">
        <f t="shared" si="38"/>
        <v/>
      </c>
      <c r="Q337" s="6" t="str">
        <f t="shared" si="39"/>
        <v/>
      </c>
    </row>
    <row r="338" spans="13:17" x14ac:dyDescent="0.3">
      <c r="M338" s="6" t="str">
        <f t="shared" si="35"/>
        <v/>
      </c>
      <c r="N338" s="6" t="str">
        <f t="shared" si="36"/>
        <v/>
      </c>
      <c r="O338" s="6" t="str">
        <f t="shared" si="37"/>
        <v/>
      </c>
      <c r="P338" s="6" t="str">
        <f t="shared" si="38"/>
        <v/>
      </c>
      <c r="Q338" s="6" t="str">
        <f t="shared" si="39"/>
        <v/>
      </c>
    </row>
    <row r="339" spans="13:17" x14ac:dyDescent="0.3">
      <c r="M339" s="6" t="str">
        <f t="shared" si="35"/>
        <v/>
      </c>
      <c r="N339" s="6" t="str">
        <f t="shared" si="36"/>
        <v/>
      </c>
      <c r="O339" s="6" t="str">
        <f t="shared" si="37"/>
        <v/>
      </c>
      <c r="P339" s="6" t="str">
        <f t="shared" si="38"/>
        <v/>
      </c>
      <c r="Q339" s="6" t="str">
        <f t="shared" si="39"/>
        <v/>
      </c>
    </row>
    <row r="340" spans="13:17" x14ac:dyDescent="0.3">
      <c r="M340" s="6" t="str">
        <f t="shared" si="35"/>
        <v/>
      </c>
      <c r="N340" s="6" t="str">
        <f t="shared" si="36"/>
        <v/>
      </c>
      <c r="O340" s="6" t="str">
        <f t="shared" si="37"/>
        <v/>
      </c>
      <c r="P340" s="6" t="str">
        <f t="shared" si="38"/>
        <v/>
      </c>
      <c r="Q340" s="6" t="str">
        <f t="shared" si="39"/>
        <v/>
      </c>
    </row>
    <row r="341" spans="13:17" x14ac:dyDescent="0.3">
      <c r="M341" s="6" t="str">
        <f t="shared" si="35"/>
        <v/>
      </c>
      <c r="N341" s="6" t="str">
        <f t="shared" si="36"/>
        <v/>
      </c>
      <c r="O341" s="6" t="str">
        <f t="shared" si="37"/>
        <v/>
      </c>
      <c r="P341" s="6" t="str">
        <f t="shared" si="38"/>
        <v/>
      </c>
      <c r="Q341" s="6" t="str">
        <f t="shared" si="39"/>
        <v/>
      </c>
    </row>
    <row r="342" spans="13:17" x14ac:dyDescent="0.3">
      <c r="M342" s="6" t="str">
        <f t="shared" si="35"/>
        <v/>
      </c>
      <c r="N342" s="6" t="str">
        <f t="shared" si="36"/>
        <v/>
      </c>
      <c r="O342" s="6" t="str">
        <f t="shared" si="37"/>
        <v/>
      </c>
      <c r="P342" s="6" t="str">
        <f t="shared" si="38"/>
        <v/>
      </c>
      <c r="Q342" s="6" t="str">
        <f t="shared" si="39"/>
        <v/>
      </c>
    </row>
    <row r="343" spans="13:17" x14ac:dyDescent="0.3">
      <c r="M343" s="6" t="str">
        <f t="shared" si="35"/>
        <v/>
      </c>
      <c r="N343" s="6" t="str">
        <f t="shared" si="36"/>
        <v/>
      </c>
      <c r="O343" s="6" t="str">
        <f t="shared" si="37"/>
        <v/>
      </c>
      <c r="P343" s="6" t="str">
        <f t="shared" si="38"/>
        <v/>
      </c>
      <c r="Q343" s="6" t="str">
        <f t="shared" si="39"/>
        <v/>
      </c>
    </row>
    <row r="344" spans="13:17" x14ac:dyDescent="0.3">
      <c r="M344" s="6" t="str">
        <f t="shared" si="35"/>
        <v/>
      </c>
      <c r="N344" s="6" t="str">
        <f t="shared" si="36"/>
        <v/>
      </c>
      <c r="O344" s="6" t="str">
        <f t="shared" si="37"/>
        <v/>
      </c>
      <c r="P344" s="6" t="str">
        <f t="shared" si="38"/>
        <v/>
      </c>
      <c r="Q344" s="6" t="str">
        <f t="shared" si="39"/>
        <v/>
      </c>
    </row>
    <row r="345" spans="13:17" x14ac:dyDescent="0.3">
      <c r="M345" s="6" t="str">
        <f t="shared" si="35"/>
        <v/>
      </c>
      <c r="N345" s="6" t="str">
        <f t="shared" si="36"/>
        <v/>
      </c>
      <c r="O345" s="6" t="str">
        <f t="shared" si="37"/>
        <v/>
      </c>
      <c r="P345" s="6" t="str">
        <f t="shared" si="38"/>
        <v/>
      </c>
      <c r="Q345" s="6" t="str">
        <f t="shared" si="39"/>
        <v/>
      </c>
    </row>
    <row r="346" spans="13:17" x14ac:dyDescent="0.3">
      <c r="M346" s="6" t="str">
        <f t="shared" si="35"/>
        <v/>
      </c>
      <c r="N346" s="6" t="str">
        <f t="shared" si="36"/>
        <v/>
      </c>
      <c r="O346" s="6" t="str">
        <f t="shared" si="37"/>
        <v/>
      </c>
      <c r="P346" s="6" t="str">
        <f t="shared" si="38"/>
        <v/>
      </c>
      <c r="Q346" s="6" t="str">
        <f t="shared" si="39"/>
        <v/>
      </c>
    </row>
    <row r="347" spans="13:17" x14ac:dyDescent="0.3">
      <c r="M347" s="6" t="str">
        <f t="shared" si="35"/>
        <v/>
      </c>
      <c r="N347" s="6" t="str">
        <f t="shared" si="36"/>
        <v/>
      </c>
      <c r="O347" s="6" t="str">
        <f t="shared" si="37"/>
        <v/>
      </c>
      <c r="P347" s="6" t="str">
        <f t="shared" si="38"/>
        <v/>
      </c>
      <c r="Q347" s="6" t="str">
        <f t="shared" si="39"/>
        <v/>
      </c>
    </row>
    <row r="348" spans="13:17" x14ac:dyDescent="0.3">
      <c r="M348" s="6" t="str">
        <f t="shared" si="35"/>
        <v/>
      </c>
      <c r="N348" s="6" t="str">
        <f t="shared" si="36"/>
        <v/>
      </c>
      <c r="O348" s="6" t="str">
        <f t="shared" si="37"/>
        <v/>
      </c>
      <c r="P348" s="6" t="str">
        <f t="shared" si="38"/>
        <v/>
      </c>
      <c r="Q348" s="6" t="str">
        <f t="shared" si="39"/>
        <v/>
      </c>
    </row>
    <row r="349" spans="13:17" x14ac:dyDescent="0.3">
      <c r="M349" s="6" t="str">
        <f t="shared" si="35"/>
        <v/>
      </c>
      <c r="N349" s="6" t="str">
        <f t="shared" si="36"/>
        <v/>
      </c>
      <c r="O349" s="6" t="str">
        <f t="shared" si="37"/>
        <v/>
      </c>
      <c r="P349" s="6" t="str">
        <f t="shared" si="38"/>
        <v/>
      </c>
      <c r="Q349" s="6" t="str">
        <f t="shared" si="39"/>
        <v/>
      </c>
    </row>
    <row r="350" spans="13:17" x14ac:dyDescent="0.3">
      <c r="M350" s="6" t="str">
        <f t="shared" si="35"/>
        <v/>
      </c>
      <c r="N350" s="6" t="str">
        <f t="shared" si="36"/>
        <v/>
      </c>
      <c r="O350" s="6" t="str">
        <f t="shared" si="37"/>
        <v/>
      </c>
      <c r="P350" s="6" t="str">
        <f t="shared" si="38"/>
        <v/>
      </c>
      <c r="Q350" s="6" t="str">
        <f t="shared" si="39"/>
        <v/>
      </c>
    </row>
    <row r="351" spans="13:17" x14ac:dyDescent="0.3">
      <c r="M351" s="6" t="str">
        <f t="shared" si="35"/>
        <v/>
      </c>
      <c r="N351" s="6" t="str">
        <f t="shared" si="36"/>
        <v/>
      </c>
      <c r="O351" s="6" t="str">
        <f t="shared" si="37"/>
        <v/>
      </c>
      <c r="P351" s="6" t="str">
        <f t="shared" si="38"/>
        <v/>
      </c>
      <c r="Q351" s="6" t="str">
        <f t="shared" si="39"/>
        <v/>
      </c>
    </row>
    <row r="352" spans="13:17" x14ac:dyDescent="0.3">
      <c r="M352" s="6" t="str">
        <f t="shared" si="35"/>
        <v/>
      </c>
      <c r="N352" s="6" t="str">
        <f t="shared" si="36"/>
        <v/>
      </c>
      <c r="O352" s="6" t="str">
        <f t="shared" si="37"/>
        <v/>
      </c>
      <c r="P352" s="6" t="str">
        <f t="shared" si="38"/>
        <v/>
      </c>
      <c r="Q352" s="6" t="str">
        <f t="shared" si="39"/>
        <v/>
      </c>
    </row>
    <row r="353" spans="13:17" x14ac:dyDescent="0.3">
      <c r="M353" s="6" t="str">
        <f t="shared" si="35"/>
        <v/>
      </c>
      <c r="N353" s="6" t="str">
        <f t="shared" si="36"/>
        <v/>
      </c>
      <c r="O353" s="6" t="str">
        <f t="shared" si="37"/>
        <v/>
      </c>
      <c r="P353" s="6" t="str">
        <f t="shared" si="38"/>
        <v/>
      </c>
      <c r="Q353" s="6" t="str">
        <f t="shared" si="39"/>
        <v/>
      </c>
    </row>
    <row r="354" spans="13:17" x14ac:dyDescent="0.3">
      <c r="M354" s="6" t="str">
        <f t="shared" si="35"/>
        <v/>
      </c>
      <c r="N354" s="6" t="str">
        <f t="shared" si="36"/>
        <v/>
      </c>
      <c r="O354" s="6" t="str">
        <f t="shared" si="37"/>
        <v/>
      </c>
      <c r="P354" s="6" t="str">
        <f t="shared" si="38"/>
        <v/>
      </c>
      <c r="Q354" s="6" t="str">
        <f t="shared" si="39"/>
        <v/>
      </c>
    </row>
    <row r="355" spans="13:17" x14ac:dyDescent="0.3">
      <c r="M355" s="6" t="str">
        <f t="shared" si="35"/>
        <v/>
      </c>
      <c r="N355" s="6" t="str">
        <f t="shared" si="36"/>
        <v/>
      </c>
      <c r="O355" s="6" t="str">
        <f t="shared" si="37"/>
        <v/>
      </c>
      <c r="P355" s="6" t="str">
        <f t="shared" si="38"/>
        <v/>
      </c>
      <c r="Q355" s="6" t="str">
        <f t="shared" si="39"/>
        <v/>
      </c>
    </row>
    <row r="356" spans="13:17" x14ac:dyDescent="0.3">
      <c r="M356" s="6" t="str">
        <f t="shared" si="35"/>
        <v/>
      </c>
      <c r="N356" s="6" t="str">
        <f t="shared" si="36"/>
        <v/>
      </c>
      <c r="O356" s="6" t="str">
        <f t="shared" si="37"/>
        <v/>
      </c>
      <c r="P356" s="6" t="str">
        <f t="shared" si="38"/>
        <v/>
      </c>
      <c r="Q356" s="6" t="str">
        <f t="shared" si="39"/>
        <v/>
      </c>
    </row>
    <row r="357" spans="13:17" x14ac:dyDescent="0.3">
      <c r="M357" s="6" t="str">
        <f t="shared" si="35"/>
        <v/>
      </c>
      <c r="N357" s="6" t="str">
        <f t="shared" si="36"/>
        <v/>
      </c>
      <c r="O357" s="6" t="str">
        <f t="shared" si="37"/>
        <v/>
      </c>
      <c r="P357" s="6" t="str">
        <f t="shared" si="38"/>
        <v/>
      </c>
      <c r="Q357" s="6" t="str">
        <f t="shared" si="39"/>
        <v/>
      </c>
    </row>
    <row r="358" spans="13:17" x14ac:dyDescent="0.3">
      <c r="M358" s="6" t="str">
        <f t="shared" si="35"/>
        <v/>
      </c>
      <c r="N358" s="6" t="str">
        <f t="shared" si="36"/>
        <v/>
      </c>
      <c r="O358" s="6" t="str">
        <f t="shared" si="37"/>
        <v/>
      </c>
      <c r="P358" s="6" t="str">
        <f t="shared" si="38"/>
        <v/>
      </c>
      <c r="Q358" s="6" t="str">
        <f t="shared" si="39"/>
        <v/>
      </c>
    </row>
    <row r="359" spans="13:17" x14ac:dyDescent="0.3">
      <c r="M359" s="6" t="str">
        <f t="shared" si="35"/>
        <v/>
      </c>
      <c r="N359" s="6" t="str">
        <f t="shared" si="36"/>
        <v/>
      </c>
      <c r="O359" s="6" t="str">
        <f t="shared" si="37"/>
        <v/>
      </c>
      <c r="P359" s="6" t="str">
        <f t="shared" si="38"/>
        <v/>
      </c>
      <c r="Q359" s="6" t="str">
        <f t="shared" si="39"/>
        <v/>
      </c>
    </row>
    <row r="360" spans="13:17" x14ac:dyDescent="0.3">
      <c r="M360" s="6" t="str">
        <f t="shared" si="35"/>
        <v/>
      </c>
      <c r="N360" s="6" t="str">
        <f t="shared" si="36"/>
        <v/>
      </c>
      <c r="O360" s="6" t="str">
        <f t="shared" si="37"/>
        <v/>
      </c>
      <c r="P360" s="6" t="str">
        <f t="shared" si="38"/>
        <v/>
      </c>
      <c r="Q360" s="6" t="str">
        <f t="shared" si="39"/>
        <v/>
      </c>
    </row>
    <row r="361" spans="13:17" x14ac:dyDescent="0.3">
      <c r="M361" s="6" t="str">
        <f t="shared" si="35"/>
        <v/>
      </c>
      <c r="N361" s="6" t="str">
        <f t="shared" si="36"/>
        <v/>
      </c>
      <c r="O361" s="6" t="str">
        <f t="shared" si="37"/>
        <v/>
      </c>
      <c r="P361" s="6" t="str">
        <f t="shared" si="38"/>
        <v/>
      </c>
      <c r="Q361" s="6" t="str">
        <f t="shared" si="39"/>
        <v/>
      </c>
    </row>
    <row r="362" spans="13:17" x14ac:dyDescent="0.3">
      <c r="M362" s="6" t="str">
        <f t="shared" si="35"/>
        <v/>
      </c>
      <c r="N362" s="6" t="str">
        <f t="shared" si="36"/>
        <v/>
      </c>
      <c r="O362" s="6" t="str">
        <f t="shared" si="37"/>
        <v/>
      </c>
      <c r="P362" s="6" t="str">
        <f t="shared" si="38"/>
        <v/>
      </c>
      <c r="Q362" s="6" t="str">
        <f t="shared" si="39"/>
        <v/>
      </c>
    </row>
    <row r="363" spans="13:17" x14ac:dyDescent="0.3">
      <c r="M363" s="6" t="str">
        <f t="shared" si="35"/>
        <v/>
      </c>
      <c r="N363" s="6" t="str">
        <f t="shared" si="36"/>
        <v/>
      </c>
      <c r="O363" s="6" t="str">
        <f t="shared" si="37"/>
        <v/>
      </c>
      <c r="P363" s="6" t="str">
        <f t="shared" si="38"/>
        <v/>
      </c>
      <c r="Q363" s="6" t="str">
        <f t="shared" si="39"/>
        <v/>
      </c>
    </row>
    <row r="364" spans="13:17" x14ac:dyDescent="0.3">
      <c r="M364" s="6" t="str">
        <f t="shared" si="35"/>
        <v/>
      </c>
      <c r="N364" s="6" t="str">
        <f t="shared" si="36"/>
        <v/>
      </c>
      <c r="O364" s="6" t="str">
        <f t="shared" si="37"/>
        <v/>
      </c>
      <c r="P364" s="6" t="str">
        <f t="shared" si="38"/>
        <v/>
      </c>
      <c r="Q364" s="6" t="str">
        <f t="shared" si="39"/>
        <v/>
      </c>
    </row>
    <row r="365" spans="13:17" x14ac:dyDescent="0.3">
      <c r="M365" s="6" t="str">
        <f t="shared" si="35"/>
        <v/>
      </c>
      <c r="N365" s="6" t="str">
        <f t="shared" si="36"/>
        <v/>
      </c>
      <c r="O365" s="6" t="str">
        <f t="shared" si="37"/>
        <v/>
      </c>
      <c r="P365" s="6" t="str">
        <f t="shared" si="38"/>
        <v/>
      </c>
      <c r="Q365" s="6" t="str">
        <f t="shared" si="39"/>
        <v/>
      </c>
    </row>
    <row r="366" spans="13:17" x14ac:dyDescent="0.3">
      <c r="M366" s="6" t="str">
        <f t="shared" si="35"/>
        <v/>
      </c>
      <c r="N366" s="6" t="str">
        <f t="shared" si="36"/>
        <v/>
      </c>
      <c r="O366" s="6" t="str">
        <f t="shared" si="37"/>
        <v/>
      </c>
      <c r="P366" s="6" t="str">
        <f t="shared" si="38"/>
        <v/>
      </c>
      <c r="Q366" s="6" t="str">
        <f t="shared" si="39"/>
        <v/>
      </c>
    </row>
    <row r="367" spans="13:17" x14ac:dyDescent="0.3">
      <c r="M367" s="6" t="str">
        <f t="shared" si="35"/>
        <v/>
      </c>
      <c r="N367" s="6" t="str">
        <f t="shared" si="36"/>
        <v/>
      </c>
      <c r="O367" s="6" t="str">
        <f t="shared" si="37"/>
        <v/>
      </c>
      <c r="P367" s="6" t="str">
        <f t="shared" si="38"/>
        <v/>
      </c>
      <c r="Q367" s="6" t="str">
        <f t="shared" si="39"/>
        <v/>
      </c>
    </row>
    <row r="368" spans="13:17" x14ac:dyDescent="0.3">
      <c r="M368" s="6" t="str">
        <f t="shared" si="35"/>
        <v/>
      </c>
      <c r="N368" s="6" t="str">
        <f t="shared" si="36"/>
        <v/>
      </c>
      <c r="O368" s="6" t="str">
        <f t="shared" si="37"/>
        <v/>
      </c>
      <c r="P368" s="6" t="str">
        <f t="shared" si="38"/>
        <v/>
      </c>
      <c r="Q368" s="6" t="str">
        <f t="shared" si="39"/>
        <v/>
      </c>
    </row>
    <row r="369" spans="13:17" x14ac:dyDescent="0.3">
      <c r="M369" s="6" t="str">
        <f t="shared" si="35"/>
        <v/>
      </c>
      <c r="N369" s="6" t="str">
        <f t="shared" si="36"/>
        <v/>
      </c>
      <c r="O369" s="6" t="str">
        <f t="shared" si="37"/>
        <v/>
      </c>
      <c r="P369" s="6" t="str">
        <f t="shared" si="38"/>
        <v/>
      </c>
      <c r="Q369" s="6" t="str">
        <f t="shared" si="39"/>
        <v/>
      </c>
    </row>
    <row r="370" spans="13:17" x14ac:dyDescent="0.3">
      <c r="M370" s="6" t="str">
        <f t="shared" si="35"/>
        <v/>
      </c>
      <c r="N370" s="6" t="str">
        <f t="shared" si="36"/>
        <v/>
      </c>
      <c r="O370" s="6" t="str">
        <f t="shared" si="37"/>
        <v/>
      </c>
      <c r="P370" s="6" t="str">
        <f t="shared" si="38"/>
        <v/>
      </c>
      <c r="Q370" s="6" t="str">
        <f t="shared" si="39"/>
        <v/>
      </c>
    </row>
    <row r="371" spans="13:17" x14ac:dyDescent="0.3">
      <c r="M371" s="6" t="str">
        <f t="shared" si="35"/>
        <v/>
      </c>
      <c r="N371" s="6" t="str">
        <f t="shared" si="36"/>
        <v/>
      </c>
      <c r="O371" s="6" t="str">
        <f t="shared" si="37"/>
        <v/>
      </c>
      <c r="P371" s="6" t="str">
        <f t="shared" si="38"/>
        <v/>
      </c>
      <c r="Q371" s="6" t="str">
        <f t="shared" si="39"/>
        <v/>
      </c>
    </row>
    <row r="372" spans="13:17" x14ac:dyDescent="0.3">
      <c r="M372" s="6" t="str">
        <f t="shared" si="35"/>
        <v/>
      </c>
      <c r="N372" s="6" t="str">
        <f t="shared" si="36"/>
        <v/>
      </c>
      <c r="O372" s="6" t="str">
        <f t="shared" si="37"/>
        <v/>
      </c>
      <c r="P372" s="6" t="str">
        <f t="shared" si="38"/>
        <v/>
      </c>
      <c r="Q372" s="6" t="str">
        <f t="shared" si="39"/>
        <v/>
      </c>
    </row>
    <row r="373" spans="13:17" x14ac:dyDescent="0.3">
      <c r="M373" s="6" t="str">
        <f t="shared" si="35"/>
        <v/>
      </c>
      <c r="N373" s="6" t="str">
        <f t="shared" si="36"/>
        <v/>
      </c>
      <c r="O373" s="6" t="str">
        <f t="shared" si="37"/>
        <v/>
      </c>
      <c r="P373" s="6" t="str">
        <f t="shared" si="38"/>
        <v/>
      </c>
      <c r="Q373" s="6" t="str">
        <f t="shared" si="39"/>
        <v/>
      </c>
    </row>
    <row r="374" spans="13:17" x14ac:dyDescent="0.3">
      <c r="M374" s="6" t="str">
        <f t="shared" si="35"/>
        <v/>
      </c>
      <c r="N374" s="6" t="str">
        <f t="shared" si="36"/>
        <v/>
      </c>
      <c r="O374" s="6" t="str">
        <f t="shared" si="37"/>
        <v/>
      </c>
      <c r="P374" s="6" t="str">
        <f t="shared" si="38"/>
        <v/>
      </c>
      <c r="Q374" s="6" t="str">
        <f t="shared" si="39"/>
        <v/>
      </c>
    </row>
    <row r="375" spans="13:17" x14ac:dyDescent="0.3">
      <c r="M375" s="6" t="str">
        <f t="shared" si="35"/>
        <v/>
      </c>
      <c r="N375" s="6" t="str">
        <f t="shared" si="36"/>
        <v/>
      </c>
      <c r="O375" s="6" t="str">
        <f t="shared" si="37"/>
        <v/>
      </c>
      <c r="P375" s="6" t="str">
        <f t="shared" si="38"/>
        <v/>
      </c>
      <c r="Q375" s="6" t="str">
        <f t="shared" si="39"/>
        <v/>
      </c>
    </row>
    <row r="376" spans="13:17" x14ac:dyDescent="0.3">
      <c r="M376" s="6" t="str">
        <f t="shared" si="35"/>
        <v/>
      </c>
      <c r="N376" s="6" t="str">
        <f t="shared" si="36"/>
        <v/>
      </c>
      <c r="O376" s="6" t="str">
        <f t="shared" si="37"/>
        <v/>
      </c>
      <c r="P376" s="6" t="str">
        <f t="shared" si="38"/>
        <v/>
      </c>
      <c r="Q376" s="6" t="str">
        <f t="shared" si="39"/>
        <v/>
      </c>
    </row>
    <row r="377" spans="13:17" x14ac:dyDescent="0.3">
      <c r="M377" s="6" t="str">
        <f t="shared" si="35"/>
        <v/>
      </c>
      <c r="N377" s="6" t="str">
        <f t="shared" si="36"/>
        <v/>
      </c>
      <c r="O377" s="6" t="str">
        <f t="shared" si="37"/>
        <v/>
      </c>
      <c r="P377" s="6" t="str">
        <f t="shared" si="38"/>
        <v/>
      </c>
      <c r="Q377" s="6" t="str">
        <f t="shared" si="39"/>
        <v/>
      </c>
    </row>
    <row r="378" spans="13:17" x14ac:dyDescent="0.3">
      <c r="M378" s="6" t="str">
        <f t="shared" si="35"/>
        <v/>
      </c>
      <c r="N378" s="6" t="str">
        <f t="shared" si="36"/>
        <v/>
      </c>
      <c r="O378" s="6" t="str">
        <f t="shared" si="37"/>
        <v/>
      </c>
      <c r="P378" s="6" t="str">
        <f t="shared" si="38"/>
        <v/>
      </c>
      <c r="Q378" s="6" t="str">
        <f t="shared" si="39"/>
        <v/>
      </c>
    </row>
    <row r="379" spans="13:17" x14ac:dyDescent="0.3">
      <c r="M379" s="6" t="str">
        <f t="shared" si="35"/>
        <v/>
      </c>
      <c r="N379" s="6" t="str">
        <f t="shared" si="36"/>
        <v/>
      </c>
      <c r="O379" s="6" t="str">
        <f t="shared" si="37"/>
        <v/>
      </c>
      <c r="P379" s="6" t="str">
        <f t="shared" si="38"/>
        <v/>
      </c>
      <c r="Q379" s="6" t="str">
        <f t="shared" si="39"/>
        <v/>
      </c>
    </row>
    <row r="380" spans="13:17" x14ac:dyDescent="0.3">
      <c r="M380" s="6" t="str">
        <f t="shared" si="35"/>
        <v/>
      </c>
      <c r="N380" s="6" t="str">
        <f t="shared" si="36"/>
        <v/>
      </c>
      <c r="O380" s="6" t="str">
        <f t="shared" si="37"/>
        <v/>
      </c>
      <c r="P380" s="6" t="str">
        <f t="shared" si="38"/>
        <v/>
      </c>
      <c r="Q380" s="6" t="str">
        <f t="shared" si="39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8635-56AF-4151-A8F0-4CF2F4B95CB7}">
  <sheetPr codeName="Sheet2"/>
  <dimension ref="A1:K100"/>
  <sheetViews>
    <sheetView tabSelected="1" workbookViewId="0">
      <selection activeCell="D9" sqref="D9"/>
    </sheetView>
  </sheetViews>
  <sheetFormatPr defaultRowHeight="14.4" x14ac:dyDescent="0.3"/>
  <cols>
    <col min="1" max="1" width="14.6640625" customWidth="1"/>
    <col min="2" max="8" width="12.6640625" customWidth="1"/>
    <col min="15" max="15" width="10" bestFit="1" customWidth="1"/>
    <col min="18" max="18" width="11" bestFit="1" customWidth="1"/>
  </cols>
  <sheetData>
    <row r="1" spans="1:11" ht="55.2" customHeight="1" x14ac:dyDescent="0.3">
      <c r="A1" s="7" t="s">
        <v>0</v>
      </c>
      <c r="B1" s="8" t="s">
        <v>1</v>
      </c>
      <c r="C1" s="8" t="s">
        <v>41</v>
      </c>
      <c r="D1" s="8" t="s">
        <v>19</v>
      </c>
      <c r="E1" s="8" t="s">
        <v>20</v>
      </c>
      <c r="F1" s="2" t="s">
        <v>21</v>
      </c>
      <c r="G1" s="2" t="s">
        <v>22</v>
      </c>
      <c r="H1" s="2" t="s">
        <v>23</v>
      </c>
    </row>
    <row r="2" spans="1:11" x14ac:dyDescent="0.3">
      <c r="A2" t="str">
        <f>IF(ISBLANK('Info Cuencas'!A2),"",'Info Cuencas'!A2)</f>
        <v>C_01_CL</v>
      </c>
      <c r="B2" s="4">
        <f>IF(A2="","",'Info Cuencas'!B2)</f>
        <v>117.271</v>
      </c>
      <c r="C2" s="4">
        <f>IF(A2="","",'Info Cuencas'!C2)</f>
        <v>75</v>
      </c>
      <c r="D2" s="6">
        <f>IF(A2="","",0.133*'Info Cuencas'!R2)</f>
        <v>0.76073282726013913</v>
      </c>
      <c r="E2" s="11">
        <v>0.05</v>
      </c>
      <c r="F2" s="6">
        <f>IF(A2="","",0.6*'Info Cuencas'!R2+HUS!E2/2)</f>
        <v>3.4568774162111535</v>
      </c>
      <c r="G2" s="6">
        <f>IF(A2="","",5*F2)</f>
        <v>17.284387081055769</v>
      </c>
      <c r="H2" s="6">
        <f>IF(A2="","",0.208*'Info Cuencas'!B2/HUS!F2)</f>
        <v>7.0561854133476336</v>
      </c>
      <c r="I2" s="6"/>
      <c r="K2" s="5"/>
    </row>
    <row r="3" spans="1:11" x14ac:dyDescent="0.3">
      <c r="A3" t="str">
        <f>IF(ISBLANK('Info Cuencas'!A3),"",'Info Cuencas'!A3)</f>
        <v>C_02_CL</v>
      </c>
      <c r="B3" s="4">
        <f>IF(A3="","",'Info Cuencas'!B3)</f>
        <v>447.74</v>
      </c>
      <c r="C3" s="4">
        <f>IF(A3="","",'Info Cuencas'!C3)</f>
        <v>75</v>
      </c>
      <c r="D3" s="6">
        <f>IF(A3="","",0.133*'Info Cuencas'!R3)</f>
        <v>1.0943707430089464</v>
      </c>
      <c r="E3" s="11">
        <v>0.05</v>
      </c>
      <c r="F3" s="6">
        <f>IF(A3="","",0.6*'Info Cuencas'!R3+HUS!E3/2)</f>
        <v>4.9620108707170507</v>
      </c>
      <c r="G3" s="6">
        <f>IF(A3="","",5*F3)</f>
        <v>24.810054353585254</v>
      </c>
      <c r="H3" s="6">
        <f>IF(A3="","",0.208*'Info Cuencas'!B3/HUS!F3)</f>
        <v>18.768584436120346</v>
      </c>
      <c r="I3" s="6"/>
    </row>
    <row r="4" spans="1:11" x14ac:dyDescent="0.3">
      <c r="A4" t="str">
        <f>IF(ISBLANK('Info Cuencas'!A4),"",'Info Cuencas'!A4)</f>
        <v/>
      </c>
      <c r="B4" s="4" t="str">
        <f>IF(A4="","",'Info Cuencas'!B4)</f>
        <v/>
      </c>
      <c r="C4" s="4" t="str">
        <f>IF(A4="","",'Info Cuencas'!C4)</f>
        <v/>
      </c>
      <c r="D4" s="6" t="str">
        <f>IF(A4="","",0.133*'Info Cuencas'!R4)</f>
        <v/>
      </c>
      <c r="E4" s="9"/>
      <c r="F4" s="6" t="str">
        <f>IF(A4="","",0.6*'Info Cuencas'!R4+HUS!E4/2)</f>
        <v/>
      </c>
      <c r="G4" s="6" t="str">
        <f t="shared" ref="G4" si="0">IF(A4="","",5*F4)</f>
        <v/>
      </c>
      <c r="H4" s="6" t="str">
        <f>IF(A4="","",0.208*'Info Cuencas'!B4/HUS!F4)</f>
        <v/>
      </c>
      <c r="I4" s="6"/>
    </row>
    <row r="5" spans="1:11" x14ac:dyDescent="0.3">
      <c r="A5" t="str">
        <f>IF(ISBLANK('Info Cuencas'!A5),"",'Info Cuencas'!A5)</f>
        <v/>
      </c>
      <c r="B5" s="4" t="str">
        <f>IF(A5="","",'Info Cuencas'!B5)</f>
        <v/>
      </c>
      <c r="C5" s="4" t="str">
        <f>IF(A5="","",'Info Cuencas'!C5)</f>
        <v/>
      </c>
      <c r="D5" s="6" t="str">
        <f>IF(A5="","",0.133*'Info Cuencas'!R5)</f>
        <v/>
      </c>
      <c r="E5" s="9"/>
      <c r="F5" s="6" t="str">
        <f>IF(A5="","",0.6*'Info Cuencas'!R5+HUS!E5/2)</f>
        <v/>
      </c>
      <c r="G5" s="6" t="str">
        <f>IF(A5="","",5*F5)</f>
        <v/>
      </c>
      <c r="H5" s="6" t="str">
        <f>IF(A5="","",0.208*'Info Cuencas'!B5/HUS!F5)</f>
        <v/>
      </c>
      <c r="I5" s="6"/>
    </row>
    <row r="6" spans="1:11" x14ac:dyDescent="0.3">
      <c r="A6" t="str">
        <f>IF(ISBLANK('Info Cuencas'!A6),"",'Info Cuencas'!A6)</f>
        <v/>
      </c>
      <c r="B6" s="4" t="str">
        <f>IF(A6="","",'Info Cuencas'!B6)</f>
        <v/>
      </c>
      <c r="C6" s="4" t="str">
        <f>IF(A6="","",'Info Cuencas'!C6)</f>
        <v/>
      </c>
      <c r="D6" s="6" t="str">
        <f>IF(A6="","",0.133*'Info Cuencas'!R6)</f>
        <v/>
      </c>
      <c r="E6" s="9"/>
      <c r="F6" s="6" t="str">
        <f>IF(A6="","",0.6*'Info Cuencas'!R6+HUS!E6/2)</f>
        <v/>
      </c>
      <c r="G6" s="6" t="str">
        <f t="shared" ref="G6:G11" si="1">IF(A6="","",5*F6)</f>
        <v/>
      </c>
      <c r="H6" s="6" t="str">
        <f>IF(A6="","",0.208*'Info Cuencas'!B6/HUS!F6)</f>
        <v/>
      </c>
      <c r="I6" s="6"/>
    </row>
    <row r="7" spans="1:11" x14ac:dyDescent="0.3">
      <c r="A7" t="str">
        <f>IF(ISBLANK('Info Cuencas'!A7),"",'Info Cuencas'!A7)</f>
        <v/>
      </c>
      <c r="B7" s="4" t="str">
        <f>IF(A7="","",'Info Cuencas'!B7)</f>
        <v/>
      </c>
      <c r="C7" s="4" t="str">
        <f>IF(A7="","",'Info Cuencas'!C7)</f>
        <v/>
      </c>
      <c r="D7" s="6" t="str">
        <f>IF(A7="","",0.133*'Info Cuencas'!R7)</f>
        <v/>
      </c>
      <c r="E7" s="9"/>
      <c r="F7" s="6" t="str">
        <f>IF(A7="","",0.6*'Info Cuencas'!R7+HUS!E7/2)</f>
        <v/>
      </c>
      <c r="G7" s="6" t="str">
        <f t="shared" si="1"/>
        <v/>
      </c>
      <c r="H7" s="6" t="str">
        <f>IF(A7="","",0.208*'Info Cuencas'!B7/HUS!F7)</f>
        <v/>
      </c>
      <c r="I7" s="6"/>
    </row>
    <row r="8" spans="1:11" x14ac:dyDescent="0.3">
      <c r="A8" t="str">
        <f>IF(ISBLANK('Info Cuencas'!A8),"",'Info Cuencas'!A8)</f>
        <v/>
      </c>
      <c r="B8" s="4" t="str">
        <f>IF(A8="","",'Info Cuencas'!B8)</f>
        <v/>
      </c>
      <c r="C8" s="4" t="str">
        <f>IF(A8="","",'Info Cuencas'!C8)</f>
        <v/>
      </c>
      <c r="D8" s="6" t="str">
        <f>IF(A8="","",0.133*'Info Cuencas'!R8)</f>
        <v/>
      </c>
      <c r="E8" s="9"/>
      <c r="F8" s="6" t="str">
        <f>IF(A8="","",0.6*'Info Cuencas'!R8+HUS!E8/2)</f>
        <v/>
      </c>
      <c r="G8" s="6" t="str">
        <f>IF(A8="","",5*F8)</f>
        <v/>
      </c>
      <c r="H8" s="6" t="str">
        <f>IF(A8="","",0.208*'Info Cuencas'!B8/HUS!F8)</f>
        <v/>
      </c>
      <c r="I8" s="6"/>
    </row>
    <row r="9" spans="1:11" x14ac:dyDescent="0.3">
      <c r="A9" t="str">
        <f>IF(ISBLANK('Info Cuencas'!A9),"",'Info Cuencas'!A9)</f>
        <v/>
      </c>
      <c r="B9" s="4" t="str">
        <f>IF(A9="","",'Info Cuencas'!B9)</f>
        <v/>
      </c>
      <c r="C9" s="4" t="str">
        <f>IF(A9="","",'Info Cuencas'!C9)</f>
        <v/>
      </c>
      <c r="D9" s="6" t="str">
        <f>IF(A9="","",0.133*'Info Cuencas'!R9)</f>
        <v/>
      </c>
      <c r="E9" s="9"/>
      <c r="F9" s="6" t="str">
        <f>IF(A9="","",0.6*'Info Cuencas'!R9+HUS!E9/2)</f>
        <v/>
      </c>
      <c r="G9" s="6" t="str">
        <f t="shared" si="1"/>
        <v/>
      </c>
      <c r="H9" s="6" t="str">
        <f>IF(A9="","",0.208*'Info Cuencas'!B9/HUS!F9)</f>
        <v/>
      </c>
      <c r="I9" s="6"/>
    </row>
    <row r="10" spans="1:11" x14ac:dyDescent="0.3">
      <c r="A10" t="str">
        <f>IF(ISBLANK('Info Cuencas'!A10),"",'Info Cuencas'!A10)</f>
        <v/>
      </c>
      <c r="B10" s="4" t="str">
        <f>IF(A10="","",'Info Cuencas'!B10)</f>
        <v/>
      </c>
      <c r="C10" s="4" t="str">
        <f>IF(A10="","",'Info Cuencas'!C10)</f>
        <v/>
      </c>
      <c r="D10" s="6" t="str">
        <f>IF(A10="","",0.133*'Info Cuencas'!R10)</f>
        <v/>
      </c>
      <c r="E10" s="9"/>
      <c r="F10" s="6" t="str">
        <f>IF(A10="","",0.6*'Info Cuencas'!R10+HUS!E10/2)</f>
        <v/>
      </c>
      <c r="G10" s="6" t="str">
        <f t="shared" si="1"/>
        <v/>
      </c>
      <c r="H10" s="6" t="str">
        <f>IF(A10="","",0.208*'Info Cuencas'!B10/HUS!F10)</f>
        <v/>
      </c>
      <c r="I10" s="6"/>
    </row>
    <row r="11" spans="1:11" x14ac:dyDescent="0.3">
      <c r="A11" t="str">
        <f>IF(ISBLANK('Info Cuencas'!A11),"",'Info Cuencas'!A11)</f>
        <v/>
      </c>
      <c r="B11" s="4" t="str">
        <f>IF(A11="","",'Info Cuencas'!B11)</f>
        <v/>
      </c>
      <c r="C11" s="4" t="str">
        <f>IF(A11="","",'Info Cuencas'!C11)</f>
        <v/>
      </c>
      <c r="D11" s="6" t="str">
        <f>IF(A11="","",0.133*'Info Cuencas'!R11)</f>
        <v/>
      </c>
      <c r="E11" s="9"/>
      <c r="F11" s="6" t="str">
        <f>IF(A11="","",0.6*'Info Cuencas'!R11+HUS!E11/2)</f>
        <v/>
      </c>
      <c r="G11" s="6" t="str">
        <f t="shared" si="1"/>
        <v/>
      </c>
      <c r="H11" s="6" t="str">
        <f>IF(A11="","",0.208*'Info Cuencas'!B11/HUS!F11)</f>
        <v/>
      </c>
      <c r="I11" s="6"/>
    </row>
    <row r="12" spans="1:11" x14ac:dyDescent="0.3">
      <c r="A12" t="str">
        <f>IF(ISBLANK('Info Cuencas'!A12),"",'Info Cuencas'!A12)</f>
        <v/>
      </c>
      <c r="B12" s="4" t="str">
        <f>IF(A12="","",'Info Cuencas'!B12)</f>
        <v/>
      </c>
      <c r="C12" s="4" t="str">
        <f>IF(A12="","",'Info Cuencas'!C12)</f>
        <v/>
      </c>
      <c r="D12" t="str">
        <f>IF(A12="","",0.133*'Info Cuencas'!R12)</f>
        <v/>
      </c>
      <c r="E12" s="9"/>
      <c r="F12" s="6" t="str">
        <f>IF(A12="","",0.6*'Info Cuencas'!R12+HUS!E12/2)</f>
        <v/>
      </c>
    </row>
    <row r="13" spans="1:11" x14ac:dyDescent="0.3">
      <c r="A13" t="str">
        <f>IF(ISBLANK('Info Cuencas'!A13),"",'Info Cuencas'!A13)</f>
        <v/>
      </c>
      <c r="B13" s="4" t="str">
        <f>IF(A13="","",'Info Cuencas'!B13)</f>
        <v/>
      </c>
      <c r="C13" s="4" t="str">
        <f>IF(A13="","",'Info Cuencas'!C13)</f>
        <v/>
      </c>
      <c r="D13" t="str">
        <f>IF(A13="","",0.133*'Info Cuencas'!R13)</f>
        <v/>
      </c>
      <c r="E13" s="9"/>
      <c r="F13" s="6" t="str">
        <f>IF(A13="","",0.6*'Info Cuencas'!R13+HUS!E13/2)</f>
        <v/>
      </c>
    </row>
    <row r="14" spans="1:11" x14ac:dyDescent="0.3">
      <c r="A14" t="str">
        <f>IF(ISBLANK('Info Cuencas'!A14),"",'Info Cuencas'!A14)</f>
        <v/>
      </c>
      <c r="B14" s="4" t="str">
        <f>IF(A14="","",'Info Cuencas'!B14)</f>
        <v/>
      </c>
      <c r="C14" s="4" t="str">
        <f>IF(A14="","",'Info Cuencas'!C14)</f>
        <v/>
      </c>
      <c r="D14" t="str">
        <f>IF(A14="","",0.133*'Info Cuencas'!R14)</f>
        <v/>
      </c>
      <c r="E14" s="9"/>
      <c r="F14" s="6" t="str">
        <f>IF(A14="","",0.6*'Info Cuencas'!R14+HUS!E14/2)</f>
        <v/>
      </c>
    </row>
    <row r="15" spans="1:11" x14ac:dyDescent="0.3">
      <c r="A15" t="str">
        <f>IF(ISBLANK('Info Cuencas'!A15),"",'Info Cuencas'!A15)</f>
        <v/>
      </c>
      <c r="B15" s="4" t="str">
        <f>IF(A15="","",'Info Cuencas'!B15)</f>
        <v/>
      </c>
      <c r="C15" s="4" t="str">
        <f>IF(A15="","",'Info Cuencas'!C15)</f>
        <v/>
      </c>
      <c r="D15" t="str">
        <f>IF(A15="","",0.133*'Info Cuencas'!R15)</f>
        <v/>
      </c>
      <c r="F15" s="6" t="str">
        <f>IF(A15="","",0.6*'Info Cuencas'!R15+HUS!E15/2)</f>
        <v/>
      </c>
    </row>
    <row r="16" spans="1:11" x14ac:dyDescent="0.3">
      <c r="A16" t="str">
        <f>IF(ISBLANK('Info Cuencas'!A16),"",'Info Cuencas'!A16)</f>
        <v/>
      </c>
      <c r="B16" s="4" t="str">
        <f>IF(A16="","",'Info Cuencas'!B16)</f>
        <v/>
      </c>
      <c r="C16" s="4" t="str">
        <f>IF(A16="","",'Info Cuencas'!C16)</f>
        <v/>
      </c>
      <c r="D16" t="str">
        <f>IF(A16="","",0.133*'Info Cuencas'!R16)</f>
        <v/>
      </c>
      <c r="F16" s="6" t="str">
        <f>IF(A16="","",0.6*'Info Cuencas'!R16+HUS!E16/2)</f>
        <v/>
      </c>
    </row>
    <row r="17" spans="1:6" x14ac:dyDescent="0.3">
      <c r="A17" t="str">
        <f>IF(ISBLANK('Info Cuencas'!A17),"",'Info Cuencas'!A17)</f>
        <v/>
      </c>
      <c r="B17" s="4" t="str">
        <f>IF(A17="","",'Info Cuencas'!B17)</f>
        <v/>
      </c>
      <c r="C17" s="4" t="str">
        <f>IF(A17="","",'Info Cuencas'!C17)</f>
        <v/>
      </c>
      <c r="D17" t="str">
        <f>IF(A17="","",0.133*'Info Cuencas'!R17)</f>
        <v/>
      </c>
      <c r="F17" s="6" t="str">
        <f>IF(A17="","",0.6*'Info Cuencas'!R17+HUS!E17/2)</f>
        <v/>
      </c>
    </row>
    <row r="18" spans="1:6" x14ac:dyDescent="0.3">
      <c r="A18" t="str">
        <f>IF(ISBLANK('Info Cuencas'!A18),"",'Info Cuencas'!A18)</f>
        <v/>
      </c>
      <c r="B18" s="4" t="str">
        <f>IF(A18="","",'Info Cuencas'!B18)</f>
        <v/>
      </c>
      <c r="C18" s="4" t="str">
        <f>IF(A18="","",'Info Cuencas'!C18)</f>
        <v/>
      </c>
      <c r="D18" t="str">
        <f>IF(A18="","",0.133*'Info Cuencas'!R18)</f>
        <v/>
      </c>
      <c r="F18" s="6" t="str">
        <f>IF(A18="","",0.6*'Info Cuencas'!R18+HUS!E18/2)</f>
        <v/>
      </c>
    </row>
    <row r="19" spans="1:6" x14ac:dyDescent="0.3">
      <c r="A19" t="str">
        <f>IF(ISBLANK('Info Cuencas'!A19),"",'Info Cuencas'!A19)</f>
        <v/>
      </c>
      <c r="B19" s="4" t="str">
        <f>IF(A19="","",'Info Cuencas'!B19)</f>
        <v/>
      </c>
      <c r="C19" s="4" t="str">
        <f>IF(A19="","",'Info Cuencas'!C19)</f>
        <v/>
      </c>
      <c r="D19" t="str">
        <f>IF(A19="","",0.133*'Info Cuencas'!R19)</f>
        <v/>
      </c>
      <c r="F19" s="6" t="str">
        <f>IF(A19="","",0.6*'Info Cuencas'!R19+HUS!E19/2)</f>
        <v/>
      </c>
    </row>
    <row r="20" spans="1:6" x14ac:dyDescent="0.3">
      <c r="A20" t="str">
        <f>IF(ISBLANK('Info Cuencas'!A20),"",'Info Cuencas'!A20)</f>
        <v/>
      </c>
      <c r="B20" s="4" t="str">
        <f>IF(A20="","",'Info Cuencas'!B20)</f>
        <v/>
      </c>
      <c r="C20" s="4" t="str">
        <f>IF(A20="","",'Info Cuencas'!C20)</f>
        <v/>
      </c>
      <c r="D20" t="str">
        <f>IF(A20="","",0.133*'Info Cuencas'!R20)</f>
        <v/>
      </c>
      <c r="F20" s="6" t="str">
        <f>IF(A20="","",0.6*'Info Cuencas'!R20+HUS!E20/2)</f>
        <v/>
      </c>
    </row>
    <row r="21" spans="1:6" x14ac:dyDescent="0.3">
      <c r="A21" t="str">
        <f>IF(ISBLANK('Info Cuencas'!A21),"",'Info Cuencas'!A21)</f>
        <v/>
      </c>
      <c r="B21" s="4" t="str">
        <f>IF(A21="","",'Info Cuencas'!B21)</f>
        <v/>
      </c>
      <c r="C21" s="4" t="str">
        <f>IF(A21="","",'Info Cuencas'!C21)</f>
        <v/>
      </c>
      <c r="D21" t="str">
        <f>IF(A21="","",0.133*'Info Cuencas'!R21)</f>
        <v/>
      </c>
      <c r="F21" s="6" t="str">
        <f>IF(A21="","",0.6*'Info Cuencas'!R21+HUS!E21/2)</f>
        <v/>
      </c>
    </row>
    <row r="22" spans="1:6" x14ac:dyDescent="0.3">
      <c r="A22" t="str">
        <f>IF(ISBLANK('Info Cuencas'!A22),"",'Info Cuencas'!A22)</f>
        <v/>
      </c>
      <c r="B22" s="4" t="str">
        <f>IF(A22="","",'Info Cuencas'!B22)</f>
        <v/>
      </c>
      <c r="C22" s="4" t="str">
        <f>IF(A22="","",'Info Cuencas'!C22)</f>
        <v/>
      </c>
      <c r="D22" t="str">
        <f>IF(A22="","",0.133*'Info Cuencas'!R22)</f>
        <v/>
      </c>
      <c r="F22" s="6" t="str">
        <f>IF(A22="","",0.6*'Info Cuencas'!R22+HUS!E22/2)</f>
        <v/>
      </c>
    </row>
    <row r="23" spans="1:6" x14ac:dyDescent="0.3">
      <c r="A23" t="str">
        <f>IF(ISBLANK('Info Cuencas'!A23),"",'Info Cuencas'!A23)</f>
        <v/>
      </c>
      <c r="B23" s="4" t="str">
        <f>IF(A23="","",'Info Cuencas'!B23)</f>
        <v/>
      </c>
      <c r="C23" s="4" t="str">
        <f>IF(A23="","",'Info Cuencas'!C23)</f>
        <v/>
      </c>
      <c r="D23" t="str">
        <f>IF(A23="","",0.133*'Info Cuencas'!R23)</f>
        <v/>
      </c>
      <c r="F23" s="6" t="str">
        <f>IF(A23="","",0.6*'Info Cuencas'!R23+HUS!E23/2)</f>
        <v/>
      </c>
    </row>
    <row r="24" spans="1:6" x14ac:dyDescent="0.3">
      <c r="A24" t="str">
        <f>IF(ISBLANK('Info Cuencas'!A24),"",'Info Cuencas'!A24)</f>
        <v/>
      </c>
      <c r="B24" s="4" t="str">
        <f>IF(A24="","",'Info Cuencas'!B24)</f>
        <v/>
      </c>
      <c r="C24" s="4" t="str">
        <f>IF(A24="","",'Info Cuencas'!C24)</f>
        <v/>
      </c>
      <c r="D24" t="str">
        <f>IF(A24="","",0.133*'Info Cuencas'!R24)</f>
        <v/>
      </c>
      <c r="F24" s="6" t="str">
        <f>IF(A24="","",0.6*'Info Cuencas'!R24+HUS!E24/2)</f>
        <v/>
      </c>
    </row>
    <row r="25" spans="1:6" x14ac:dyDescent="0.3">
      <c r="A25" t="str">
        <f>IF(ISBLANK('Info Cuencas'!A25),"",'Info Cuencas'!A25)</f>
        <v/>
      </c>
      <c r="B25" s="4" t="str">
        <f>IF(A25="","",'Info Cuencas'!B25)</f>
        <v/>
      </c>
      <c r="C25" s="4" t="str">
        <f>IF(A25="","",'Info Cuencas'!C25)</f>
        <v/>
      </c>
      <c r="D25" t="str">
        <f>IF(A25="","",0.133*'Info Cuencas'!R25)</f>
        <v/>
      </c>
      <c r="F25" s="6" t="str">
        <f>IF(A25="","",0.6*'Info Cuencas'!R25+HUS!E25/2)</f>
        <v/>
      </c>
    </row>
    <row r="26" spans="1:6" x14ac:dyDescent="0.3">
      <c r="A26" t="str">
        <f>IF(ISBLANK('Info Cuencas'!A26),"",'Info Cuencas'!A26)</f>
        <v/>
      </c>
      <c r="B26" s="4" t="str">
        <f>IF(A26="","",'Info Cuencas'!B26)</f>
        <v/>
      </c>
      <c r="C26" s="4" t="str">
        <f>IF(A26="","",'Info Cuencas'!C26)</f>
        <v/>
      </c>
      <c r="D26" t="str">
        <f>IF(A26="","",0.133*'Info Cuencas'!R26)</f>
        <v/>
      </c>
      <c r="F26" s="6" t="str">
        <f>IF(A26="","",0.6*'Info Cuencas'!R26+HUS!E26/2)</f>
        <v/>
      </c>
    </row>
    <row r="27" spans="1:6" x14ac:dyDescent="0.3">
      <c r="A27" t="str">
        <f>IF(ISBLANK('Info Cuencas'!A27),"",'Info Cuencas'!A27)</f>
        <v/>
      </c>
      <c r="B27" s="4" t="str">
        <f>IF(A27="","",'Info Cuencas'!B27)</f>
        <v/>
      </c>
      <c r="C27" s="4" t="str">
        <f>IF(A27="","",'Info Cuencas'!C27)</f>
        <v/>
      </c>
      <c r="D27" t="str">
        <f>IF(A27="","",0.133*'Info Cuencas'!R27)</f>
        <v/>
      </c>
      <c r="F27" s="6" t="str">
        <f>IF(A27="","",0.6*'Info Cuencas'!R27+HUS!E27/2)</f>
        <v/>
      </c>
    </row>
    <row r="28" spans="1:6" x14ac:dyDescent="0.3">
      <c r="A28" t="str">
        <f>IF(ISBLANK('Info Cuencas'!A28),"",'Info Cuencas'!A28)</f>
        <v/>
      </c>
      <c r="B28" s="4" t="str">
        <f>IF(A28="","",'Info Cuencas'!B28)</f>
        <v/>
      </c>
      <c r="C28" s="4" t="str">
        <f>IF(A28="","",'Info Cuencas'!C28)</f>
        <v/>
      </c>
      <c r="D28" t="str">
        <f>IF(A28="","",0.133*'Info Cuencas'!R28)</f>
        <v/>
      </c>
      <c r="F28" s="6" t="str">
        <f>IF(A28="","",0.6*'Info Cuencas'!R28+HUS!E28/2)</f>
        <v/>
      </c>
    </row>
    <row r="29" spans="1:6" x14ac:dyDescent="0.3">
      <c r="A29" t="str">
        <f>IF(ISBLANK('Info Cuencas'!A29),"",'Info Cuencas'!A29)</f>
        <v/>
      </c>
      <c r="B29" s="4" t="str">
        <f>IF(A29="","",'Info Cuencas'!B29)</f>
        <v/>
      </c>
      <c r="C29" s="4" t="str">
        <f>IF(A29="","",'Info Cuencas'!C29)</f>
        <v/>
      </c>
      <c r="D29" t="str">
        <f>IF(A29="","",0.133*'Info Cuencas'!R29)</f>
        <v/>
      </c>
      <c r="F29" s="6" t="str">
        <f>IF(A29="","",0.6*'Info Cuencas'!R29+HUS!E29/2)</f>
        <v/>
      </c>
    </row>
    <row r="30" spans="1:6" x14ac:dyDescent="0.3">
      <c r="A30" t="str">
        <f>IF(ISBLANK('Info Cuencas'!A30),"",'Info Cuencas'!A30)</f>
        <v/>
      </c>
      <c r="B30" s="4" t="str">
        <f>IF(A30="","",'Info Cuencas'!B30)</f>
        <v/>
      </c>
      <c r="C30" s="4" t="str">
        <f>IF(A30="","",'Info Cuencas'!C30)</f>
        <v/>
      </c>
      <c r="D30" t="str">
        <f>IF(A30="","",0.133*'Info Cuencas'!R30)</f>
        <v/>
      </c>
      <c r="F30" s="6" t="str">
        <f>IF(A30="","",0.6*'Info Cuencas'!R30+HUS!E30/2)</f>
        <v/>
      </c>
    </row>
    <row r="31" spans="1:6" x14ac:dyDescent="0.3">
      <c r="A31" t="str">
        <f>IF(ISBLANK('Info Cuencas'!A31),"",'Info Cuencas'!A31)</f>
        <v/>
      </c>
      <c r="B31" s="4" t="str">
        <f>IF(A31="","",'Info Cuencas'!B31)</f>
        <v/>
      </c>
      <c r="C31" s="4" t="str">
        <f>IF(A31="","",'Info Cuencas'!C31)</f>
        <v/>
      </c>
      <c r="D31" t="str">
        <f>IF(A31="","",0.133*'Info Cuencas'!R31)</f>
        <v/>
      </c>
      <c r="F31" s="6" t="str">
        <f>IF(A31="","",0.6*'Info Cuencas'!R31+HUS!E31/2)</f>
        <v/>
      </c>
    </row>
    <row r="32" spans="1:6" x14ac:dyDescent="0.3">
      <c r="A32" t="str">
        <f>IF(ISBLANK('Info Cuencas'!A32),"",'Info Cuencas'!A32)</f>
        <v/>
      </c>
      <c r="B32" s="4" t="str">
        <f>IF(A32="","",'Info Cuencas'!B32)</f>
        <v/>
      </c>
      <c r="C32" s="4" t="str">
        <f>IF(A32="","",'Info Cuencas'!C32)</f>
        <v/>
      </c>
      <c r="D32" t="str">
        <f>IF(A32="","",0.133*'Info Cuencas'!R32)</f>
        <v/>
      </c>
      <c r="F32" s="6" t="str">
        <f>IF(A32="","",0.6*'Info Cuencas'!R32+HUS!E32/2)</f>
        <v/>
      </c>
    </row>
    <row r="33" spans="1:6" x14ac:dyDescent="0.3">
      <c r="A33" t="str">
        <f>IF(ISBLANK('Info Cuencas'!A33),"",'Info Cuencas'!A33)</f>
        <v/>
      </c>
      <c r="B33" s="4" t="str">
        <f>IF(A33="","",'Info Cuencas'!B33)</f>
        <v/>
      </c>
      <c r="C33" s="4" t="str">
        <f>IF(A33="","",'Info Cuencas'!C33)</f>
        <v/>
      </c>
      <c r="D33" t="str">
        <f>IF(A33="","",0.133*'Info Cuencas'!R33)</f>
        <v/>
      </c>
      <c r="F33" s="6" t="str">
        <f>IF(A33="","",0.6*'Info Cuencas'!R33+HUS!E33/2)</f>
        <v/>
      </c>
    </row>
    <row r="34" spans="1:6" x14ac:dyDescent="0.3">
      <c r="A34" t="str">
        <f>IF(ISBLANK('Info Cuencas'!A34),"",'Info Cuencas'!A34)</f>
        <v/>
      </c>
      <c r="B34" s="4" t="str">
        <f>IF(A34="","",'Info Cuencas'!B34)</f>
        <v/>
      </c>
      <c r="C34" s="4" t="str">
        <f>IF(A34="","",'Info Cuencas'!C34)</f>
        <v/>
      </c>
      <c r="D34" t="str">
        <f>IF(A34="","",0.133*'Info Cuencas'!R34)</f>
        <v/>
      </c>
      <c r="F34" s="6" t="str">
        <f>IF(A34="","",0.6*'Info Cuencas'!R34+HUS!E34/2)</f>
        <v/>
      </c>
    </row>
    <row r="35" spans="1:6" x14ac:dyDescent="0.3">
      <c r="A35" t="str">
        <f>IF(ISBLANK('Info Cuencas'!A35),"",'Info Cuencas'!A35)</f>
        <v/>
      </c>
      <c r="B35" s="4" t="str">
        <f>IF(A35="","",'Info Cuencas'!B35)</f>
        <v/>
      </c>
      <c r="C35" s="4" t="str">
        <f>IF(A35="","",'Info Cuencas'!C35)</f>
        <v/>
      </c>
      <c r="D35" t="str">
        <f>IF(A35="","",0.133*'Info Cuencas'!R35)</f>
        <v/>
      </c>
      <c r="F35" s="6" t="str">
        <f>IF(A35="","",0.6*'Info Cuencas'!R35+HUS!E35/2)</f>
        <v/>
      </c>
    </row>
    <row r="36" spans="1:6" x14ac:dyDescent="0.3">
      <c r="A36" t="str">
        <f>IF(ISBLANK('Info Cuencas'!A36),"",'Info Cuencas'!A36)</f>
        <v/>
      </c>
      <c r="B36" s="4" t="str">
        <f>IF(A36="","",'Info Cuencas'!B36)</f>
        <v/>
      </c>
      <c r="C36" s="4" t="str">
        <f>IF(A36="","",'Info Cuencas'!C36)</f>
        <v/>
      </c>
      <c r="D36" t="str">
        <f>IF(A36="","",0.133*'Info Cuencas'!R36)</f>
        <v/>
      </c>
      <c r="F36" s="6" t="str">
        <f>IF(A36="","",0.6*'Info Cuencas'!R36+HUS!E36/2)</f>
        <v/>
      </c>
    </row>
    <row r="37" spans="1:6" x14ac:dyDescent="0.3">
      <c r="A37" t="str">
        <f>IF(ISBLANK('Info Cuencas'!A37),"",'Info Cuencas'!A37)</f>
        <v/>
      </c>
      <c r="B37" s="4" t="str">
        <f>IF(A37="","",'Info Cuencas'!B37)</f>
        <v/>
      </c>
      <c r="C37" s="4" t="str">
        <f>IF(A37="","",'Info Cuencas'!C37)</f>
        <v/>
      </c>
      <c r="D37" t="str">
        <f>IF(A37="","",0.133*'Info Cuencas'!R37)</f>
        <v/>
      </c>
      <c r="F37" s="6" t="str">
        <f>IF(A37="","",0.6*'Info Cuencas'!R37+HUS!E37/2)</f>
        <v/>
      </c>
    </row>
    <row r="38" spans="1:6" x14ac:dyDescent="0.3">
      <c r="A38" t="str">
        <f>IF(ISBLANK('Info Cuencas'!A38),"",'Info Cuencas'!A38)</f>
        <v/>
      </c>
      <c r="B38" s="4" t="str">
        <f>IF(A38="","",'Info Cuencas'!B38)</f>
        <v/>
      </c>
      <c r="C38" s="4" t="str">
        <f>IF(A38="","",'Info Cuencas'!C38)</f>
        <v/>
      </c>
      <c r="D38" t="str">
        <f>IF(A38="","",0.133*'Info Cuencas'!R38)</f>
        <v/>
      </c>
      <c r="F38" s="6" t="str">
        <f>IF(A38="","",0.6*'Info Cuencas'!R38+HUS!E38/2)</f>
        <v/>
      </c>
    </row>
    <row r="39" spans="1:6" x14ac:dyDescent="0.3">
      <c r="A39" t="str">
        <f>IF(ISBLANK('Info Cuencas'!A39),"",'Info Cuencas'!A39)</f>
        <v/>
      </c>
      <c r="B39" s="4" t="str">
        <f>IF(A39="","",'Info Cuencas'!B39)</f>
        <v/>
      </c>
      <c r="C39" s="4" t="str">
        <f>IF(A39="","",'Info Cuencas'!C39)</f>
        <v/>
      </c>
      <c r="D39" t="str">
        <f>IF(A39="","",0.133*'Info Cuencas'!R39)</f>
        <v/>
      </c>
      <c r="F39" s="6" t="str">
        <f>IF(A39="","",0.6*'Info Cuencas'!R39+HUS!E39/2)</f>
        <v/>
      </c>
    </row>
    <row r="40" spans="1:6" x14ac:dyDescent="0.3">
      <c r="A40" t="str">
        <f>IF(ISBLANK('Info Cuencas'!A40),"",'Info Cuencas'!A40)</f>
        <v/>
      </c>
      <c r="B40" s="4" t="str">
        <f>IF(A40="","",'Info Cuencas'!B40)</f>
        <v/>
      </c>
      <c r="C40" s="4" t="str">
        <f>IF(A40="","",'Info Cuencas'!C40)</f>
        <v/>
      </c>
      <c r="D40" t="str">
        <f>IF(A40="","",0.133*'Info Cuencas'!R40)</f>
        <v/>
      </c>
      <c r="F40" s="6" t="str">
        <f>IF(A40="","",0.6*'Info Cuencas'!R40+HUS!E40/2)</f>
        <v/>
      </c>
    </row>
    <row r="41" spans="1:6" x14ac:dyDescent="0.3">
      <c r="A41" t="str">
        <f>IF(ISBLANK('Info Cuencas'!A41),"",'Info Cuencas'!A41)</f>
        <v/>
      </c>
      <c r="B41" s="4" t="str">
        <f>IF(A41="","",'Info Cuencas'!B41)</f>
        <v/>
      </c>
      <c r="C41" s="4" t="str">
        <f>IF(A41="","",'Info Cuencas'!C41)</f>
        <v/>
      </c>
      <c r="D41" t="str">
        <f>IF(A41="","",0.133*'Info Cuencas'!R41)</f>
        <v/>
      </c>
      <c r="F41" s="6" t="str">
        <f>IF(A41="","",0.6*'Info Cuencas'!R41+HUS!E41/2)</f>
        <v/>
      </c>
    </row>
    <row r="42" spans="1:6" x14ac:dyDescent="0.3">
      <c r="A42" t="str">
        <f>IF(ISBLANK('Info Cuencas'!A42),"",'Info Cuencas'!A42)</f>
        <v/>
      </c>
      <c r="B42" s="4" t="str">
        <f>IF(A42="","",'Info Cuencas'!B42)</f>
        <v/>
      </c>
      <c r="C42" s="4" t="str">
        <f>IF(A42="","",'Info Cuencas'!C42)</f>
        <v/>
      </c>
      <c r="D42" t="str">
        <f>IF(A42="","",0.133*'Info Cuencas'!R42)</f>
        <v/>
      </c>
      <c r="F42" s="6" t="str">
        <f>IF(A42="","",0.6*'Info Cuencas'!R42+HUS!E42/2)</f>
        <v/>
      </c>
    </row>
    <row r="43" spans="1:6" x14ac:dyDescent="0.3">
      <c r="A43" t="str">
        <f>IF(ISBLANK('Info Cuencas'!A43),"",'Info Cuencas'!A43)</f>
        <v/>
      </c>
      <c r="B43" s="4" t="str">
        <f>IF(A43="","",'Info Cuencas'!B43)</f>
        <v/>
      </c>
      <c r="C43" s="4" t="str">
        <f>IF(A43="","",'Info Cuencas'!C43)</f>
        <v/>
      </c>
      <c r="D43" t="str">
        <f>IF(A43="","",0.133*'Info Cuencas'!R43)</f>
        <v/>
      </c>
      <c r="F43" s="6" t="str">
        <f>IF(A43="","",0.6*'Info Cuencas'!R43+HUS!E43/2)</f>
        <v/>
      </c>
    </row>
    <row r="44" spans="1:6" x14ac:dyDescent="0.3">
      <c r="A44" t="str">
        <f>IF(ISBLANK('Info Cuencas'!A44),"",'Info Cuencas'!A44)</f>
        <v/>
      </c>
      <c r="B44" s="4" t="str">
        <f>IF(A44="","",'Info Cuencas'!B44)</f>
        <v/>
      </c>
      <c r="C44" s="4" t="str">
        <f>IF(A44="","",'Info Cuencas'!C44)</f>
        <v/>
      </c>
      <c r="D44" t="str">
        <f>IF(A44="","",0.133*'Info Cuencas'!R44)</f>
        <v/>
      </c>
      <c r="F44" s="6" t="str">
        <f>IF(A44="","",0.6*'Info Cuencas'!R44+HUS!E44/2)</f>
        <v/>
      </c>
    </row>
    <row r="45" spans="1:6" x14ac:dyDescent="0.3">
      <c r="A45" t="str">
        <f>IF(ISBLANK('Info Cuencas'!A45),"",'Info Cuencas'!A45)</f>
        <v/>
      </c>
      <c r="B45" s="4" t="str">
        <f>IF(A45="","",'Info Cuencas'!B45)</f>
        <v/>
      </c>
      <c r="C45" s="4" t="str">
        <f>IF(A45="","",'Info Cuencas'!C45)</f>
        <v/>
      </c>
      <c r="D45" t="str">
        <f>IF(A45="","",0.133*'Info Cuencas'!R45)</f>
        <v/>
      </c>
      <c r="F45" s="6" t="str">
        <f>IF(A45="","",0.6*'Info Cuencas'!R45+HUS!E45/2)</f>
        <v/>
      </c>
    </row>
    <row r="46" spans="1:6" x14ac:dyDescent="0.3">
      <c r="A46" t="str">
        <f>IF(ISBLANK('Info Cuencas'!A46),"",'Info Cuencas'!A46)</f>
        <v/>
      </c>
      <c r="B46" s="4" t="str">
        <f>IF(A46="","",'Info Cuencas'!B46)</f>
        <v/>
      </c>
      <c r="C46" s="4" t="str">
        <f>IF(A46="","",'Info Cuencas'!C46)</f>
        <v/>
      </c>
      <c r="D46" t="str">
        <f>IF(A46="","",0.133*'Info Cuencas'!R46)</f>
        <v/>
      </c>
      <c r="F46" s="6" t="str">
        <f>IF(A46="","",0.6*'Info Cuencas'!R46+HUS!E46/2)</f>
        <v/>
      </c>
    </row>
    <row r="47" spans="1:6" x14ac:dyDescent="0.3">
      <c r="A47" t="str">
        <f>IF(ISBLANK('Info Cuencas'!A47),"",'Info Cuencas'!A47)</f>
        <v/>
      </c>
      <c r="B47" s="4" t="str">
        <f>IF(A47="","",'Info Cuencas'!B47)</f>
        <v/>
      </c>
      <c r="C47" s="4" t="str">
        <f>IF(A47="","",'Info Cuencas'!C47)</f>
        <v/>
      </c>
      <c r="D47" t="str">
        <f>IF(A47="","",0.133*'Info Cuencas'!R47)</f>
        <v/>
      </c>
      <c r="F47" s="6" t="str">
        <f>IF(A47="","",0.6*'Info Cuencas'!R47+HUS!E47/2)</f>
        <v/>
      </c>
    </row>
    <row r="48" spans="1:6" x14ac:dyDescent="0.3">
      <c r="A48" t="str">
        <f>IF(ISBLANK('Info Cuencas'!A48),"",'Info Cuencas'!A48)</f>
        <v/>
      </c>
      <c r="B48" s="4" t="str">
        <f>IF(A48="","",'Info Cuencas'!B48)</f>
        <v/>
      </c>
      <c r="C48" s="4" t="str">
        <f>IF(A48="","",'Info Cuencas'!C48)</f>
        <v/>
      </c>
      <c r="D48" t="str">
        <f>IF(A48="","",0.133*'Info Cuencas'!R48)</f>
        <v/>
      </c>
      <c r="F48" s="6" t="str">
        <f>IF(A48="","",0.6*'Info Cuencas'!R48+HUS!E48/2)</f>
        <v/>
      </c>
    </row>
    <row r="49" spans="1:6" x14ac:dyDescent="0.3">
      <c r="A49" t="str">
        <f>IF(ISBLANK('Info Cuencas'!A49),"",'Info Cuencas'!A49)</f>
        <v/>
      </c>
      <c r="B49" s="4" t="str">
        <f>IF(A49="","",'Info Cuencas'!B49)</f>
        <v/>
      </c>
      <c r="C49" s="4" t="str">
        <f>IF(A49="","",'Info Cuencas'!C49)</f>
        <v/>
      </c>
      <c r="D49" t="str">
        <f>IF(A49="","",0.133*'Info Cuencas'!R49)</f>
        <v/>
      </c>
      <c r="F49" s="6" t="str">
        <f>IF(A49="","",0.6*'Info Cuencas'!R49+HUS!E49/2)</f>
        <v/>
      </c>
    </row>
    <row r="50" spans="1:6" x14ac:dyDescent="0.3">
      <c r="A50" t="str">
        <f>IF(ISBLANK('Info Cuencas'!A50),"",'Info Cuencas'!A50)</f>
        <v/>
      </c>
      <c r="B50" s="4" t="str">
        <f>IF(A50="","",'Info Cuencas'!B50)</f>
        <v/>
      </c>
      <c r="C50" s="4" t="str">
        <f>IF(A50="","",'Info Cuencas'!C50)</f>
        <v/>
      </c>
      <c r="D50" t="str">
        <f>IF(A50="","",0.133*'Info Cuencas'!R50)</f>
        <v/>
      </c>
      <c r="F50" s="6" t="str">
        <f>IF(A50="","",0.6*'Info Cuencas'!R50+HUS!E50/2)</f>
        <v/>
      </c>
    </row>
    <row r="51" spans="1:6" x14ac:dyDescent="0.3">
      <c r="A51" t="str">
        <f>IF(ISBLANK('Info Cuencas'!A51),"",'Info Cuencas'!A51)</f>
        <v/>
      </c>
      <c r="B51" s="4" t="str">
        <f>IF(A51="","",'Info Cuencas'!B51)</f>
        <v/>
      </c>
      <c r="C51" s="4" t="str">
        <f>IF(A51="","",'Info Cuencas'!C51)</f>
        <v/>
      </c>
      <c r="D51" t="str">
        <f>IF(A51="","",0.133*'Info Cuencas'!R51)</f>
        <v/>
      </c>
      <c r="F51" s="6" t="str">
        <f>IF(A51="","",0.6*'Info Cuencas'!R51+HUS!E51/2)</f>
        <v/>
      </c>
    </row>
    <row r="52" spans="1:6" x14ac:dyDescent="0.3">
      <c r="A52" t="str">
        <f>IF(ISBLANK('Info Cuencas'!A52),"",'Info Cuencas'!A52)</f>
        <v/>
      </c>
      <c r="B52" s="4" t="str">
        <f>IF(A52="","",'Info Cuencas'!B52)</f>
        <v/>
      </c>
      <c r="C52" s="4" t="str">
        <f>IF(A52="","",'Info Cuencas'!C52)</f>
        <v/>
      </c>
      <c r="D52" t="str">
        <f>IF(A52="","",0.133*'Info Cuencas'!R52)</f>
        <v/>
      </c>
      <c r="F52" s="6" t="str">
        <f>IF(A52="","",0.6*'Info Cuencas'!R52+HUS!E52/2)</f>
        <v/>
      </c>
    </row>
    <row r="53" spans="1:6" x14ac:dyDescent="0.3">
      <c r="A53" t="str">
        <f>IF(ISBLANK('Info Cuencas'!A53),"",'Info Cuencas'!A53)</f>
        <v/>
      </c>
      <c r="B53" s="4" t="str">
        <f>IF(A53="","",'Info Cuencas'!B53)</f>
        <v/>
      </c>
      <c r="C53" s="4" t="str">
        <f>IF(A53="","",'Info Cuencas'!C53)</f>
        <v/>
      </c>
      <c r="D53" t="str">
        <f>IF(A53="","",0.133*'Info Cuencas'!R53)</f>
        <v/>
      </c>
      <c r="F53" s="6" t="str">
        <f>IF(A53="","",0.6*'Info Cuencas'!R53+HUS!E53/2)</f>
        <v/>
      </c>
    </row>
    <row r="54" spans="1:6" x14ac:dyDescent="0.3">
      <c r="A54" t="str">
        <f>IF(ISBLANK('Info Cuencas'!A54),"",'Info Cuencas'!A54)</f>
        <v/>
      </c>
      <c r="B54" s="4" t="str">
        <f>IF(A54="","",'Info Cuencas'!B54)</f>
        <v/>
      </c>
      <c r="C54" s="4" t="str">
        <f>IF(A54="","",'Info Cuencas'!C54)</f>
        <v/>
      </c>
      <c r="D54" t="str">
        <f>IF(A54="","",0.133*'Info Cuencas'!R54)</f>
        <v/>
      </c>
      <c r="F54" s="6" t="str">
        <f>IF(A54="","",0.6*'Info Cuencas'!R54+HUS!E54/2)</f>
        <v/>
      </c>
    </row>
    <row r="55" spans="1:6" x14ac:dyDescent="0.3">
      <c r="A55" t="str">
        <f>IF(ISBLANK('Info Cuencas'!A55),"",'Info Cuencas'!A55)</f>
        <v/>
      </c>
      <c r="B55" s="4" t="str">
        <f>IF(A55="","",'Info Cuencas'!B55)</f>
        <v/>
      </c>
      <c r="C55" s="4" t="str">
        <f>IF(A55="","",'Info Cuencas'!C55)</f>
        <v/>
      </c>
      <c r="D55" t="str">
        <f>IF(A55="","",0.133*'Info Cuencas'!R55)</f>
        <v/>
      </c>
      <c r="F55" s="6" t="str">
        <f>IF(A55="","",0.6*'Info Cuencas'!R55+HUS!E55/2)</f>
        <v/>
      </c>
    </row>
    <row r="56" spans="1:6" x14ac:dyDescent="0.3">
      <c r="A56" t="str">
        <f>IF(ISBLANK('Info Cuencas'!A56),"",'Info Cuencas'!A56)</f>
        <v/>
      </c>
      <c r="B56" s="4" t="str">
        <f>IF(A56="","",'Info Cuencas'!B56)</f>
        <v/>
      </c>
      <c r="C56" s="4" t="str">
        <f>IF(A56="","",'Info Cuencas'!C56)</f>
        <v/>
      </c>
      <c r="D56" t="str">
        <f>IF(A56="","",0.133*'Info Cuencas'!R56)</f>
        <v/>
      </c>
      <c r="F56" s="6" t="str">
        <f>IF(A56="","",0.6*'Info Cuencas'!R56+HUS!E56/2)</f>
        <v/>
      </c>
    </row>
    <row r="57" spans="1:6" x14ac:dyDescent="0.3">
      <c r="A57" t="str">
        <f>IF(ISBLANK('Info Cuencas'!A57),"",'Info Cuencas'!A57)</f>
        <v/>
      </c>
      <c r="B57" s="4" t="str">
        <f>IF(A57="","",'Info Cuencas'!B57)</f>
        <v/>
      </c>
      <c r="C57" s="4" t="str">
        <f>IF(A57="","",'Info Cuencas'!C57)</f>
        <v/>
      </c>
      <c r="D57" t="str">
        <f>IF(A57="","",0.133*'Info Cuencas'!R57)</f>
        <v/>
      </c>
      <c r="F57" s="6" t="str">
        <f>IF(A57="","",0.6*'Info Cuencas'!R57+HUS!E57/2)</f>
        <v/>
      </c>
    </row>
    <row r="58" spans="1:6" x14ac:dyDescent="0.3">
      <c r="A58" t="str">
        <f>IF(ISBLANK('Info Cuencas'!A58),"",'Info Cuencas'!A58)</f>
        <v/>
      </c>
      <c r="B58" s="4" t="str">
        <f>IF(A58="","",'Info Cuencas'!B58)</f>
        <v/>
      </c>
      <c r="C58" s="4" t="str">
        <f>IF(A58="","",'Info Cuencas'!C58)</f>
        <v/>
      </c>
      <c r="D58" t="str">
        <f>IF(A58="","",0.133*'Info Cuencas'!R58)</f>
        <v/>
      </c>
      <c r="F58" s="6" t="str">
        <f>IF(A58="","",0.6*'Info Cuencas'!R58+HUS!E58/2)</f>
        <v/>
      </c>
    </row>
    <row r="59" spans="1:6" x14ac:dyDescent="0.3">
      <c r="A59" t="str">
        <f>IF(ISBLANK('Info Cuencas'!A59),"",'Info Cuencas'!A59)</f>
        <v/>
      </c>
      <c r="B59" s="4" t="str">
        <f>IF(A59="","",'Info Cuencas'!B59)</f>
        <v/>
      </c>
      <c r="C59" s="4" t="str">
        <f>IF(A59="","",'Info Cuencas'!C59)</f>
        <v/>
      </c>
      <c r="D59" t="str">
        <f>IF(A59="","",0.133*'Info Cuencas'!R59)</f>
        <v/>
      </c>
      <c r="F59" s="6" t="str">
        <f>IF(A59="","",0.6*'Info Cuencas'!R59+HUS!E59/2)</f>
        <v/>
      </c>
    </row>
    <row r="60" spans="1:6" x14ac:dyDescent="0.3">
      <c r="A60" t="str">
        <f>IF(ISBLANK('Info Cuencas'!A60),"",'Info Cuencas'!A60)</f>
        <v/>
      </c>
      <c r="B60" s="4" t="str">
        <f>IF(A60="","",'Info Cuencas'!B60)</f>
        <v/>
      </c>
      <c r="C60" s="4" t="str">
        <f>IF(A60="","",'Info Cuencas'!C60)</f>
        <v/>
      </c>
      <c r="D60" t="str">
        <f>IF(A60="","",0.133*'Info Cuencas'!R60)</f>
        <v/>
      </c>
      <c r="F60" s="6" t="str">
        <f>IF(A60="","",0.6*'Info Cuencas'!R60+HUS!E60/2)</f>
        <v/>
      </c>
    </row>
    <row r="61" spans="1:6" x14ac:dyDescent="0.3">
      <c r="A61" t="str">
        <f>IF(ISBLANK('Info Cuencas'!A61),"",'Info Cuencas'!A61)</f>
        <v/>
      </c>
      <c r="B61" s="4" t="str">
        <f>IF(A61="","",'Info Cuencas'!B61)</f>
        <v/>
      </c>
      <c r="C61" s="4" t="str">
        <f>IF(A61="","",'Info Cuencas'!C61)</f>
        <v/>
      </c>
      <c r="D61" t="str">
        <f>IF(A61="","",0.133*'Info Cuencas'!R61)</f>
        <v/>
      </c>
      <c r="F61" s="6" t="str">
        <f>IF(A61="","",0.6*'Info Cuencas'!R61+HUS!E61/2)</f>
        <v/>
      </c>
    </row>
    <row r="62" spans="1:6" x14ac:dyDescent="0.3">
      <c r="A62" t="str">
        <f>IF(ISBLANK('Info Cuencas'!A62),"",'Info Cuencas'!A62)</f>
        <v/>
      </c>
      <c r="B62" s="4" t="str">
        <f>IF(A62="","",'Info Cuencas'!B62)</f>
        <v/>
      </c>
      <c r="C62" s="4" t="str">
        <f>IF(A62="","",'Info Cuencas'!C62)</f>
        <v/>
      </c>
      <c r="D62" t="str">
        <f>IF(A62="","",0.133*'Info Cuencas'!R62)</f>
        <v/>
      </c>
      <c r="F62" s="6" t="str">
        <f>IF(A62="","",0.6*'Info Cuencas'!R62+HUS!E62/2)</f>
        <v/>
      </c>
    </row>
    <row r="63" spans="1:6" x14ac:dyDescent="0.3">
      <c r="A63" t="str">
        <f>IF(ISBLANK('Info Cuencas'!A63),"",'Info Cuencas'!A63)</f>
        <v/>
      </c>
      <c r="B63" s="4" t="str">
        <f>IF(A63="","",'Info Cuencas'!B63)</f>
        <v/>
      </c>
      <c r="C63" s="4" t="str">
        <f>IF(A63="","",'Info Cuencas'!C63)</f>
        <v/>
      </c>
      <c r="D63" t="str">
        <f>IF(A63="","",0.133*'Info Cuencas'!R63)</f>
        <v/>
      </c>
      <c r="F63" s="6" t="str">
        <f>IF(A63="","",0.6*'Info Cuencas'!R63+HUS!E63/2)</f>
        <v/>
      </c>
    </row>
    <row r="64" spans="1:6" x14ac:dyDescent="0.3">
      <c r="A64" t="str">
        <f>IF(ISBLANK('Info Cuencas'!A64),"",'Info Cuencas'!A64)</f>
        <v/>
      </c>
      <c r="B64" s="4" t="str">
        <f>IF(A64="","",'Info Cuencas'!B64)</f>
        <v/>
      </c>
      <c r="C64" s="4" t="str">
        <f>IF(A64="","",'Info Cuencas'!C64)</f>
        <v/>
      </c>
      <c r="D64" t="str">
        <f>IF(A64="","",0.133*'Info Cuencas'!R64)</f>
        <v/>
      </c>
      <c r="F64" s="6" t="str">
        <f>IF(A64="","",0.6*'Info Cuencas'!R64+HUS!E64/2)</f>
        <v/>
      </c>
    </row>
    <row r="65" spans="1:6" x14ac:dyDescent="0.3">
      <c r="A65" t="str">
        <f>IF(ISBLANK('Info Cuencas'!A65),"",'Info Cuencas'!A65)</f>
        <v/>
      </c>
      <c r="B65" s="4" t="str">
        <f>IF(A65="","",'Info Cuencas'!B65)</f>
        <v/>
      </c>
      <c r="C65" s="4" t="str">
        <f>IF(A65="","",'Info Cuencas'!C65)</f>
        <v/>
      </c>
      <c r="D65" t="str">
        <f>IF(A65="","",0.133*'Info Cuencas'!R65)</f>
        <v/>
      </c>
      <c r="F65" s="6" t="str">
        <f>IF(A65="","",0.6*'Info Cuencas'!R65+HUS!E65/2)</f>
        <v/>
      </c>
    </row>
    <row r="66" spans="1:6" x14ac:dyDescent="0.3">
      <c r="A66" t="str">
        <f>IF(ISBLANK('Info Cuencas'!A66),"",'Info Cuencas'!A66)</f>
        <v/>
      </c>
      <c r="B66" s="4" t="str">
        <f>IF(A66="","",'Info Cuencas'!B66)</f>
        <v/>
      </c>
      <c r="C66" s="4" t="str">
        <f>IF(A66="","",'Info Cuencas'!C66)</f>
        <v/>
      </c>
      <c r="D66" t="str">
        <f>IF(A66="","",0.133*'Info Cuencas'!R66)</f>
        <v/>
      </c>
      <c r="F66" s="6" t="str">
        <f>IF(A66="","",0.6*'Info Cuencas'!R66+HUS!E66/2)</f>
        <v/>
      </c>
    </row>
    <row r="67" spans="1:6" x14ac:dyDescent="0.3">
      <c r="A67" t="str">
        <f>IF(ISBLANK('Info Cuencas'!A67),"",'Info Cuencas'!A67)</f>
        <v/>
      </c>
      <c r="B67" s="4" t="str">
        <f>IF(A67="","",'Info Cuencas'!B67)</f>
        <v/>
      </c>
      <c r="C67" s="4" t="str">
        <f>IF(A67="","",'Info Cuencas'!C67)</f>
        <v/>
      </c>
      <c r="D67" t="str">
        <f>IF(A67="","",0.133*'Info Cuencas'!R67)</f>
        <v/>
      </c>
      <c r="F67" s="6" t="str">
        <f>IF(A67="","",0.6*'Info Cuencas'!R67+HUS!E67/2)</f>
        <v/>
      </c>
    </row>
    <row r="68" spans="1:6" x14ac:dyDescent="0.3">
      <c r="A68" t="str">
        <f>IF(ISBLANK('Info Cuencas'!A68),"",'Info Cuencas'!A68)</f>
        <v/>
      </c>
      <c r="B68" s="4" t="str">
        <f>IF(A68="","",'Info Cuencas'!B68)</f>
        <v/>
      </c>
      <c r="C68" s="4" t="str">
        <f>IF(A68="","",'Info Cuencas'!C68)</f>
        <v/>
      </c>
      <c r="D68" t="str">
        <f>IF(A68="","",0.133*'Info Cuencas'!R68)</f>
        <v/>
      </c>
      <c r="F68" s="6" t="str">
        <f>IF(A68="","",0.6*'Info Cuencas'!R68+HUS!E68/2)</f>
        <v/>
      </c>
    </row>
    <row r="69" spans="1:6" x14ac:dyDescent="0.3">
      <c r="A69" t="str">
        <f>IF(ISBLANK('Info Cuencas'!A69),"",'Info Cuencas'!A69)</f>
        <v/>
      </c>
      <c r="B69" s="4" t="str">
        <f>IF(A69="","",'Info Cuencas'!B69)</f>
        <v/>
      </c>
      <c r="C69" s="4" t="str">
        <f>IF(A69="","",'Info Cuencas'!C69)</f>
        <v/>
      </c>
      <c r="D69" t="str">
        <f>IF(A69="","",0.133*'Info Cuencas'!R69)</f>
        <v/>
      </c>
      <c r="F69" s="6" t="str">
        <f>IF(A69="","",0.6*'Info Cuencas'!R69+HUS!E69/2)</f>
        <v/>
      </c>
    </row>
    <row r="70" spans="1:6" x14ac:dyDescent="0.3">
      <c r="A70" t="str">
        <f>IF(ISBLANK('Info Cuencas'!A70),"",'Info Cuencas'!A70)</f>
        <v/>
      </c>
      <c r="B70" s="4" t="str">
        <f>IF(A70="","",'Info Cuencas'!B70)</f>
        <v/>
      </c>
      <c r="C70" s="4" t="str">
        <f>IF(A70="","",'Info Cuencas'!C70)</f>
        <v/>
      </c>
      <c r="D70" t="str">
        <f>IF(A70="","",0.133*'Info Cuencas'!R70)</f>
        <v/>
      </c>
      <c r="F70" s="6" t="str">
        <f>IF(A70="","",0.6*'Info Cuencas'!R70+HUS!E70/2)</f>
        <v/>
      </c>
    </row>
    <row r="71" spans="1:6" x14ac:dyDescent="0.3">
      <c r="A71" t="str">
        <f>IF(ISBLANK('Info Cuencas'!A71),"",'Info Cuencas'!A71)</f>
        <v/>
      </c>
      <c r="B71" s="4" t="str">
        <f>IF(A71="","",'Info Cuencas'!B71)</f>
        <v/>
      </c>
      <c r="C71" s="4" t="str">
        <f>IF(A71="","",'Info Cuencas'!C71)</f>
        <v/>
      </c>
      <c r="D71" t="str">
        <f>IF(A71="","",0.133*'Info Cuencas'!R71)</f>
        <v/>
      </c>
      <c r="F71" s="6" t="str">
        <f>IF(A71="","",0.6*'Info Cuencas'!R71+HUS!E71/2)</f>
        <v/>
      </c>
    </row>
    <row r="72" spans="1:6" x14ac:dyDescent="0.3">
      <c r="A72" t="str">
        <f>IF(ISBLANK('Info Cuencas'!A72),"",'Info Cuencas'!A72)</f>
        <v/>
      </c>
      <c r="B72" s="4" t="str">
        <f>IF(A72="","",'Info Cuencas'!B72)</f>
        <v/>
      </c>
      <c r="C72" s="4" t="str">
        <f>IF(A72="","",'Info Cuencas'!C72)</f>
        <v/>
      </c>
      <c r="D72" t="str">
        <f>IF(A72="","",0.133*'Info Cuencas'!R72)</f>
        <v/>
      </c>
      <c r="F72" s="6" t="str">
        <f>IF(A72="","",0.6*'Info Cuencas'!R72+HUS!E72/2)</f>
        <v/>
      </c>
    </row>
    <row r="73" spans="1:6" x14ac:dyDescent="0.3">
      <c r="A73" t="str">
        <f>IF(ISBLANK('Info Cuencas'!A73),"",'Info Cuencas'!A73)</f>
        <v/>
      </c>
      <c r="B73" s="4" t="str">
        <f>IF(A73="","",'Info Cuencas'!B73)</f>
        <v/>
      </c>
      <c r="C73" s="4" t="str">
        <f>IF(A73="","",'Info Cuencas'!C73)</f>
        <v/>
      </c>
      <c r="D73" t="str">
        <f>IF(A73="","",0.133*'Info Cuencas'!R73)</f>
        <v/>
      </c>
      <c r="F73" s="6" t="str">
        <f>IF(A73="","",0.6*'Info Cuencas'!R73+HUS!E73/2)</f>
        <v/>
      </c>
    </row>
    <row r="74" spans="1:6" x14ac:dyDescent="0.3">
      <c r="A74" t="str">
        <f>IF(ISBLANK('Info Cuencas'!A74),"",'Info Cuencas'!A74)</f>
        <v/>
      </c>
      <c r="B74" s="4" t="str">
        <f>IF(A74="","",'Info Cuencas'!B74)</f>
        <v/>
      </c>
      <c r="C74" s="4" t="str">
        <f>IF(A74="","",'Info Cuencas'!C74)</f>
        <v/>
      </c>
      <c r="D74" t="str">
        <f>IF(A74="","",0.133*'Info Cuencas'!R74)</f>
        <v/>
      </c>
      <c r="F74" s="6" t="str">
        <f>IF(A74="","",0.6*'Info Cuencas'!R74+HUS!E74/2)</f>
        <v/>
      </c>
    </row>
    <row r="75" spans="1:6" x14ac:dyDescent="0.3">
      <c r="A75" t="str">
        <f>IF(ISBLANK('Info Cuencas'!A75),"",'Info Cuencas'!A75)</f>
        <v/>
      </c>
      <c r="B75" s="4" t="str">
        <f>IF(A75="","",'Info Cuencas'!B75)</f>
        <v/>
      </c>
      <c r="C75" s="4" t="str">
        <f>IF(A75="","",'Info Cuencas'!C75)</f>
        <v/>
      </c>
      <c r="D75" t="str">
        <f>IF(A75="","",0.133*'Info Cuencas'!R75)</f>
        <v/>
      </c>
      <c r="F75" s="6" t="str">
        <f>IF(A75="","",0.6*'Info Cuencas'!R75+HUS!E75/2)</f>
        <v/>
      </c>
    </row>
    <row r="76" spans="1:6" x14ac:dyDescent="0.3">
      <c r="A76" t="str">
        <f>IF(ISBLANK('Info Cuencas'!A76),"",'Info Cuencas'!A76)</f>
        <v/>
      </c>
      <c r="B76" s="4" t="str">
        <f>IF(A76="","",'Info Cuencas'!B76)</f>
        <v/>
      </c>
      <c r="C76" s="4" t="str">
        <f>IF(A76="","",'Info Cuencas'!C76)</f>
        <v/>
      </c>
      <c r="D76" t="str">
        <f>IF(A76="","",0.133*'Info Cuencas'!R76)</f>
        <v/>
      </c>
      <c r="F76" s="6" t="str">
        <f>IF(A76="","",0.6*'Info Cuencas'!R76+HUS!E76/2)</f>
        <v/>
      </c>
    </row>
    <row r="77" spans="1:6" x14ac:dyDescent="0.3">
      <c r="A77" t="str">
        <f>IF(ISBLANK('Info Cuencas'!A77),"",'Info Cuencas'!A77)</f>
        <v/>
      </c>
      <c r="B77" s="4" t="str">
        <f>IF(A77="","",'Info Cuencas'!B77)</f>
        <v/>
      </c>
      <c r="C77" s="4" t="str">
        <f>IF(A77="","",'Info Cuencas'!C77)</f>
        <v/>
      </c>
      <c r="D77" t="str">
        <f>IF(A77="","",0.133*'Info Cuencas'!R77)</f>
        <v/>
      </c>
      <c r="F77" s="6" t="str">
        <f>IF(A77="","",0.6*'Info Cuencas'!R77+HUS!E77/2)</f>
        <v/>
      </c>
    </row>
    <row r="78" spans="1:6" x14ac:dyDescent="0.3">
      <c r="A78" t="str">
        <f>IF(ISBLANK('Info Cuencas'!A78),"",'Info Cuencas'!A78)</f>
        <v/>
      </c>
      <c r="B78" s="4" t="str">
        <f>IF(A78="","",'Info Cuencas'!B78)</f>
        <v/>
      </c>
      <c r="C78" s="4" t="str">
        <f>IF(A78="","",'Info Cuencas'!C78)</f>
        <v/>
      </c>
      <c r="D78" t="str">
        <f>IF(A78="","",0.133*'Info Cuencas'!R78)</f>
        <v/>
      </c>
      <c r="F78" s="6" t="str">
        <f>IF(A78="","",0.6*'Info Cuencas'!R78+HUS!E78/2)</f>
        <v/>
      </c>
    </row>
    <row r="79" spans="1:6" x14ac:dyDescent="0.3">
      <c r="A79" t="str">
        <f>IF(ISBLANK('Info Cuencas'!A79),"",'Info Cuencas'!A79)</f>
        <v/>
      </c>
      <c r="B79" s="4" t="str">
        <f>IF(A79="","",'Info Cuencas'!B79)</f>
        <v/>
      </c>
      <c r="C79" s="4" t="str">
        <f>IF(A79="","",'Info Cuencas'!C79)</f>
        <v/>
      </c>
      <c r="D79" t="str">
        <f>IF(A79="","",0.133*'Info Cuencas'!R79)</f>
        <v/>
      </c>
      <c r="F79" s="6" t="str">
        <f>IF(A79="","",0.6*'Info Cuencas'!R79+HUS!E79/2)</f>
        <v/>
      </c>
    </row>
    <row r="80" spans="1:6" x14ac:dyDescent="0.3">
      <c r="A80" t="str">
        <f>IF(ISBLANK('Info Cuencas'!A80),"",'Info Cuencas'!A80)</f>
        <v/>
      </c>
      <c r="B80" s="4" t="str">
        <f>IF(A80="","",'Info Cuencas'!B80)</f>
        <v/>
      </c>
      <c r="C80" s="4" t="str">
        <f>IF(A80="","",'Info Cuencas'!C80)</f>
        <v/>
      </c>
      <c r="D80" t="str">
        <f>IF(A80="","",0.133*'Info Cuencas'!R80)</f>
        <v/>
      </c>
      <c r="F80" s="6" t="str">
        <f>IF(A80="","",0.6*'Info Cuencas'!R80+HUS!E80/2)</f>
        <v/>
      </c>
    </row>
    <row r="81" spans="1:6" x14ac:dyDescent="0.3">
      <c r="A81" t="str">
        <f>IF(ISBLANK('Info Cuencas'!A81),"",'Info Cuencas'!A81)</f>
        <v/>
      </c>
      <c r="B81" s="4" t="str">
        <f>IF(A81="","",'Info Cuencas'!B81)</f>
        <v/>
      </c>
      <c r="C81" s="4" t="str">
        <f>IF(A81="","",'Info Cuencas'!C81)</f>
        <v/>
      </c>
      <c r="D81" t="str">
        <f>IF(A81="","",0.133*'Info Cuencas'!R81)</f>
        <v/>
      </c>
      <c r="F81" s="6" t="str">
        <f>IF(A81="","",0.6*'Info Cuencas'!R81+HUS!E81/2)</f>
        <v/>
      </c>
    </row>
    <row r="82" spans="1:6" x14ac:dyDescent="0.3">
      <c r="A82" t="str">
        <f>IF(ISBLANK('Info Cuencas'!A82),"",'Info Cuencas'!A82)</f>
        <v/>
      </c>
      <c r="B82" s="4" t="str">
        <f>IF(A82="","",'Info Cuencas'!B82)</f>
        <v/>
      </c>
      <c r="C82" s="4" t="str">
        <f>IF(A82="","",'Info Cuencas'!C82)</f>
        <v/>
      </c>
      <c r="D82" t="str">
        <f>IF(A82="","",0.133*'Info Cuencas'!R82)</f>
        <v/>
      </c>
      <c r="F82" s="6" t="str">
        <f>IF(A82="","",0.6*'Info Cuencas'!R82+HUS!E82/2)</f>
        <v/>
      </c>
    </row>
    <row r="83" spans="1:6" x14ac:dyDescent="0.3">
      <c r="A83" t="str">
        <f>IF(ISBLANK('Info Cuencas'!A83),"",'Info Cuencas'!A83)</f>
        <v/>
      </c>
      <c r="B83" s="4" t="str">
        <f>IF(A83="","",'Info Cuencas'!B83)</f>
        <v/>
      </c>
      <c r="C83" s="4" t="str">
        <f>IF(A83="","",'Info Cuencas'!C83)</f>
        <v/>
      </c>
      <c r="D83" t="str">
        <f>IF(A83="","",0.133*'Info Cuencas'!R83)</f>
        <v/>
      </c>
      <c r="F83" s="6" t="str">
        <f>IF(A83="","",0.6*'Info Cuencas'!R83+HUS!E83/2)</f>
        <v/>
      </c>
    </row>
    <row r="84" spans="1:6" x14ac:dyDescent="0.3">
      <c r="A84" t="str">
        <f>IF(ISBLANK('Info Cuencas'!A84),"",'Info Cuencas'!A84)</f>
        <v/>
      </c>
      <c r="B84" s="4" t="str">
        <f>IF(A84="","",'Info Cuencas'!B84)</f>
        <v/>
      </c>
      <c r="C84" s="4" t="str">
        <f>IF(A84="","",'Info Cuencas'!C84)</f>
        <v/>
      </c>
      <c r="D84" t="str">
        <f>IF(A84="","",0.133*'Info Cuencas'!R84)</f>
        <v/>
      </c>
      <c r="F84" s="6" t="str">
        <f>IF(A84="","",0.6*'Info Cuencas'!R84+HUS!E84/2)</f>
        <v/>
      </c>
    </row>
    <row r="85" spans="1:6" x14ac:dyDescent="0.3">
      <c r="A85" t="str">
        <f>IF(ISBLANK('Info Cuencas'!A85),"",'Info Cuencas'!A85)</f>
        <v/>
      </c>
      <c r="B85" s="4" t="str">
        <f>IF(A85="","",'Info Cuencas'!B85)</f>
        <v/>
      </c>
      <c r="C85" s="4" t="str">
        <f>IF(A85="","",'Info Cuencas'!C85)</f>
        <v/>
      </c>
      <c r="D85" t="str">
        <f>IF(A85="","",0.133*'Info Cuencas'!R85)</f>
        <v/>
      </c>
      <c r="F85" s="6" t="str">
        <f>IF(A85="","",0.6*'Info Cuencas'!R85+HUS!E85/2)</f>
        <v/>
      </c>
    </row>
    <row r="86" spans="1:6" x14ac:dyDescent="0.3">
      <c r="A86" t="str">
        <f>IF(ISBLANK('Info Cuencas'!A86),"",'Info Cuencas'!A86)</f>
        <v/>
      </c>
      <c r="B86" s="4" t="str">
        <f>IF(A86="","",'Info Cuencas'!B86)</f>
        <v/>
      </c>
      <c r="C86" s="4" t="str">
        <f>IF(A86="","",'Info Cuencas'!C86)</f>
        <v/>
      </c>
      <c r="D86" t="str">
        <f>IF(A86="","",0.133*'Info Cuencas'!R86)</f>
        <v/>
      </c>
      <c r="F86" s="6" t="str">
        <f>IF(A86="","",0.6*'Info Cuencas'!R86+HUS!E86/2)</f>
        <v/>
      </c>
    </row>
    <row r="87" spans="1:6" x14ac:dyDescent="0.3">
      <c r="A87" t="str">
        <f>IF(ISBLANK('Info Cuencas'!A87),"",'Info Cuencas'!A87)</f>
        <v/>
      </c>
      <c r="B87" s="4" t="str">
        <f>IF(A87="","",'Info Cuencas'!B87)</f>
        <v/>
      </c>
      <c r="C87" s="4" t="str">
        <f>IF(A87="","",'Info Cuencas'!C87)</f>
        <v/>
      </c>
      <c r="D87" t="str">
        <f>IF(A87="","",0.133*'Info Cuencas'!R87)</f>
        <v/>
      </c>
      <c r="F87" s="6" t="str">
        <f>IF(A87="","",0.6*'Info Cuencas'!R87+HUS!E87/2)</f>
        <v/>
      </c>
    </row>
    <row r="88" spans="1:6" x14ac:dyDescent="0.3">
      <c r="A88" t="str">
        <f>IF(ISBLANK('Info Cuencas'!A88),"",'Info Cuencas'!A88)</f>
        <v/>
      </c>
      <c r="B88" s="4" t="str">
        <f>IF(A88="","",'Info Cuencas'!B88)</f>
        <v/>
      </c>
      <c r="C88" s="4" t="str">
        <f>IF(A88="","",'Info Cuencas'!C88)</f>
        <v/>
      </c>
      <c r="D88" t="str">
        <f>IF(A88="","",0.133*'Info Cuencas'!R88)</f>
        <v/>
      </c>
      <c r="F88" s="6" t="str">
        <f>IF(A88="","",0.6*'Info Cuencas'!R88+HUS!E88/2)</f>
        <v/>
      </c>
    </row>
    <row r="89" spans="1:6" x14ac:dyDescent="0.3">
      <c r="A89" t="str">
        <f>IF(ISBLANK('Info Cuencas'!A89),"",'Info Cuencas'!A89)</f>
        <v/>
      </c>
      <c r="B89" s="4" t="str">
        <f>IF(A89="","",'Info Cuencas'!B89)</f>
        <v/>
      </c>
      <c r="C89" s="4" t="str">
        <f>IF(A89="","",'Info Cuencas'!C89)</f>
        <v/>
      </c>
      <c r="D89" t="str">
        <f>IF(A89="","",0.133*'Info Cuencas'!R89)</f>
        <v/>
      </c>
      <c r="F89" s="6" t="str">
        <f>IF(A89="","",0.6*'Info Cuencas'!R89+HUS!E89/2)</f>
        <v/>
      </c>
    </row>
    <row r="90" spans="1:6" x14ac:dyDescent="0.3">
      <c r="A90" t="str">
        <f>IF(ISBLANK('Info Cuencas'!A90),"",'Info Cuencas'!A90)</f>
        <v/>
      </c>
      <c r="B90" s="4" t="str">
        <f>IF(A90="","",'Info Cuencas'!B90)</f>
        <v/>
      </c>
      <c r="C90" s="4" t="str">
        <f>IF(A90="","",'Info Cuencas'!C90)</f>
        <v/>
      </c>
      <c r="D90" t="str">
        <f>IF(A90="","",0.133*'Info Cuencas'!R90)</f>
        <v/>
      </c>
      <c r="F90" s="6" t="str">
        <f>IF(A90="","",0.6*'Info Cuencas'!R90+HUS!E90/2)</f>
        <v/>
      </c>
    </row>
    <row r="91" spans="1:6" x14ac:dyDescent="0.3">
      <c r="A91" t="str">
        <f>IF(ISBLANK('Info Cuencas'!A91),"",'Info Cuencas'!A91)</f>
        <v/>
      </c>
      <c r="B91" s="4" t="str">
        <f>IF(A91="","",'Info Cuencas'!B91)</f>
        <v/>
      </c>
      <c r="C91" s="4" t="str">
        <f>IF(A91="","",'Info Cuencas'!C91)</f>
        <v/>
      </c>
      <c r="D91" t="str">
        <f>IF(A91="","",0.133*'Info Cuencas'!R91)</f>
        <v/>
      </c>
      <c r="F91" s="6" t="str">
        <f>IF(A91="","",0.6*'Info Cuencas'!R91+HUS!E91/2)</f>
        <v/>
      </c>
    </row>
    <row r="92" spans="1:6" x14ac:dyDescent="0.3">
      <c r="A92" t="str">
        <f>IF(ISBLANK('Info Cuencas'!A92),"",'Info Cuencas'!A92)</f>
        <v/>
      </c>
      <c r="B92" s="4" t="str">
        <f>IF(A92="","",'Info Cuencas'!B92)</f>
        <v/>
      </c>
      <c r="C92" s="4" t="str">
        <f>IF(A92="","",'Info Cuencas'!C92)</f>
        <v/>
      </c>
      <c r="D92" t="str">
        <f>IF(A92="","",0.133*'Info Cuencas'!R92)</f>
        <v/>
      </c>
      <c r="F92" s="6" t="str">
        <f>IF(A92="","",0.6*'Info Cuencas'!R92+HUS!E92/2)</f>
        <v/>
      </c>
    </row>
    <row r="93" spans="1:6" x14ac:dyDescent="0.3">
      <c r="A93" t="str">
        <f>IF(ISBLANK('Info Cuencas'!A93),"",'Info Cuencas'!A93)</f>
        <v/>
      </c>
      <c r="B93" s="4" t="str">
        <f>IF(A93="","",'Info Cuencas'!B93)</f>
        <v/>
      </c>
      <c r="C93" s="4" t="str">
        <f>IF(A93="","",'Info Cuencas'!C93)</f>
        <v/>
      </c>
      <c r="D93" t="str">
        <f>IF(A93="","",0.133*'Info Cuencas'!R93)</f>
        <v/>
      </c>
      <c r="F93" s="6" t="str">
        <f>IF(A93="","",0.6*'Info Cuencas'!R93+HUS!E93/2)</f>
        <v/>
      </c>
    </row>
    <row r="94" spans="1:6" x14ac:dyDescent="0.3">
      <c r="A94" t="str">
        <f>IF(ISBLANK('Info Cuencas'!A94),"",'Info Cuencas'!A94)</f>
        <v/>
      </c>
      <c r="B94" s="4" t="str">
        <f>IF(A94="","",'Info Cuencas'!B94)</f>
        <v/>
      </c>
      <c r="C94" s="4" t="str">
        <f>IF(A94="","",'Info Cuencas'!C94)</f>
        <v/>
      </c>
      <c r="D94" t="str">
        <f>IF(A94="","",0.133*'Info Cuencas'!R94)</f>
        <v/>
      </c>
      <c r="F94" s="6" t="str">
        <f>IF(A94="","",0.6*'Info Cuencas'!R94+HUS!E94/2)</f>
        <v/>
      </c>
    </row>
    <row r="95" spans="1:6" x14ac:dyDescent="0.3">
      <c r="A95" t="str">
        <f>IF(ISBLANK('Info Cuencas'!A95),"",'Info Cuencas'!A95)</f>
        <v/>
      </c>
      <c r="B95" s="4" t="str">
        <f>IF(A95="","",'Info Cuencas'!B95)</f>
        <v/>
      </c>
      <c r="C95" s="4" t="str">
        <f>IF(A95="","",'Info Cuencas'!C95)</f>
        <v/>
      </c>
      <c r="D95" t="str">
        <f>IF(A95="","",0.133*'Info Cuencas'!R95)</f>
        <v/>
      </c>
      <c r="F95" s="6" t="str">
        <f>IF(A95="","",0.6*'Info Cuencas'!R95+HUS!E95/2)</f>
        <v/>
      </c>
    </row>
    <row r="96" spans="1:6" x14ac:dyDescent="0.3">
      <c r="A96" t="str">
        <f>IF(ISBLANK('Info Cuencas'!A96),"",'Info Cuencas'!A96)</f>
        <v/>
      </c>
      <c r="B96" s="4" t="str">
        <f>IF(A96="","",'Info Cuencas'!B96)</f>
        <v/>
      </c>
      <c r="C96" s="4" t="str">
        <f>IF(A96="","",'Info Cuencas'!C96)</f>
        <v/>
      </c>
      <c r="D96" t="str">
        <f>IF(A96="","",0.133*'Info Cuencas'!R96)</f>
        <v/>
      </c>
      <c r="F96" s="6" t="str">
        <f>IF(A96="","",0.6*'Info Cuencas'!R96+HUS!E96/2)</f>
        <v/>
      </c>
    </row>
    <row r="97" spans="1:6" x14ac:dyDescent="0.3">
      <c r="A97" t="str">
        <f>IF(ISBLANK('Info Cuencas'!A97),"",'Info Cuencas'!A97)</f>
        <v/>
      </c>
      <c r="B97" s="4" t="str">
        <f>IF(A97="","",'Info Cuencas'!B97)</f>
        <v/>
      </c>
      <c r="C97" s="4" t="str">
        <f>IF(A97="","",'Info Cuencas'!C97)</f>
        <v/>
      </c>
      <c r="D97" t="str">
        <f>IF(A97="","",0.133*'Info Cuencas'!R97)</f>
        <v/>
      </c>
      <c r="F97" s="6" t="str">
        <f>IF(A97="","",0.6*'Info Cuencas'!R97+HUS!E97/2)</f>
        <v/>
      </c>
    </row>
    <row r="98" spans="1:6" x14ac:dyDescent="0.3">
      <c r="A98" t="str">
        <f>IF(ISBLANK('Info Cuencas'!A98),"",'Info Cuencas'!A98)</f>
        <v/>
      </c>
      <c r="B98" s="4" t="str">
        <f>IF(A98="","",'Info Cuencas'!B98)</f>
        <v/>
      </c>
      <c r="C98" s="4" t="str">
        <f>IF(A98="","",'Info Cuencas'!C98)</f>
        <v/>
      </c>
      <c r="D98" t="str">
        <f>IF(A98="","",0.133*'Info Cuencas'!R98)</f>
        <v/>
      </c>
      <c r="F98" s="6" t="str">
        <f>IF(A98="","",0.6*'Info Cuencas'!R98+HUS!E98/2)</f>
        <v/>
      </c>
    </row>
    <row r="99" spans="1:6" x14ac:dyDescent="0.3">
      <c r="A99" t="str">
        <f>IF(ISBLANK('Info Cuencas'!A99),"",'Info Cuencas'!A99)</f>
        <v/>
      </c>
      <c r="B99" s="4" t="str">
        <f>IF(A99="","",'Info Cuencas'!B99)</f>
        <v/>
      </c>
      <c r="C99" s="4" t="str">
        <f>IF(A99="","",'Info Cuencas'!C99)</f>
        <v/>
      </c>
      <c r="D99" t="str">
        <f>IF(A99="","",0.133*'Info Cuencas'!R99)</f>
        <v/>
      </c>
      <c r="F99" s="6" t="str">
        <f>IF(A99="","",0.6*'Info Cuencas'!R99+HUS!E99/2)</f>
        <v/>
      </c>
    </row>
    <row r="100" spans="1:6" x14ac:dyDescent="0.3">
      <c r="A100" t="str">
        <f>IF(ISBLANK('Info Cuencas'!A100),"",'Info Cuencas'!A100)</f>
        <v/>
      </c>
      <c r="B100" s="4" t="str">
        <f>IF(A100="","",'Info Cuencas'!B100)</f>
        <v/>
      </c>
      <c r="C100" s="4" t="str">
        <f>IF(A100="","",'Info Cuencas'!C100)</f>
        <v/>
      </c>
      <c r="D100" t="str">
        <f>IF(A100="","",0.133*'Info Cuencas'!R100)</f>
        <v/>
      </c>
      <c r="F100" s="6" t="str">
        <f>IF(A100="","",0.6*'Info Cuencas'!R100+HUS!E100/2)</f>
        <v/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BBB4-B484-4DEC-873C-57082AA401DF}">
  <sheetPr codeName="Sheet3"/>
  <dimension ref="A1:ALL10"/>
  <sheetViews>
    <sheetView workbookViewId="0">
      <selection activeCell="I19" sqref="I19"/>
    </sheetView>
  </sheetViews>
  <sheetFormatPr defaultRowHeight="14.4" x14ac:dyDescent="0.3"/>
  <sheetData>
    <row r="1" spans="1:1000" x14ac:dyDescent="0.3">
      <c r="A1" s="13" t="s">
        <v>25</v>
      </c>
      <c r="B1" t="str" cm="1">
        <f t="array" ref="B1:ALL1">IF(TRANSPOSE('Info Cuencas'!A2:A1000)=0,"",TRANSPOSE('Info Cuencas'!A2:A1000))</f>
        <v>C_01_CL</v>
      </c>
      <c r="C1" t="str">
        <v>C_02_CL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</row>
    <row r="2" spans="1:1000" x14ac:dyDescent="0.3">
      <c r="A2" s="9">
        <v>2</v>
      </c>
      <c r="B2" s="4">
        <v>16.870809369354422</v>
      </c>
      <c r="C2" s="4">
        <v>17.969076714469335</v>
      </c>
    </row>
    <row r="3" spans="1:1000" x14ac:dyDescent="0.3">
      <c r="A3" s="9">
        <v>5</v>
      </c>
      <c r="B3" s="4">
        <v>36.426318663368143</v>
      </c>
      <c r="C3" s="4">
        <v>37.789158919797423</v>
      </c>
    </row>
    <row r="4" spans="1:1000" x14ac:dyDescent="0.3">
      <c r="A4" s="9">
        <v>10</v>
      </c>
      <c r="B4" s="4">
        <v>64.8600199840687</v>
      </c>
      <c r="C4" s="4">
        <v>69.798663682927625</v>
      </c>
    </row>
    <row r="5" spans="1:1000" x14ac:dyDescent="0.3">
      <c r="A5" s="9">
        <v>20</v>
      </c>
      <c r="B5" s="4">
        <v>107.45439769248219</v>
      </c>
      <c r="C5" s="4">
        <v>119.46405820001259</v>
      </c>
    </row>
    <row r="6" spans="1:1000" x14ac:dyDescent="0.3">
      <c r="A6" s="9">
        <v>25</v>
      </c>
      <c r="B6" s="4">
        <v>124.53759319840621</v>
      </c>
      <c r="C6" s="4">
        <v>139.65613722558817</v>
      </c>
    </row>
    <row r="7" spans="1:1000" x14ac:dyDescent="0.3">
      <c r="A7" s="9">
        <v>50</v>
      </c>
      <c r="B7" s="4">
        <v>189.25663528186786</v>
      </c>
      <c r="C7" s="4">
        <v>216.91364453208837</v>
      </c>
    </row>
    <row r="8" spans="1:1000" x14ac:dyDescent="0.3">
      <c r="A8" s="9">
        <v>100</v>
      </c>
      <c r="B8" s="4">
        <v>273.53095671068775</v>
      </c>
      <c r="C8" s="4">
        <v>318.56701982796545</v>
      </c>
    </row>
    <row r="9" spans="1:1000" x14ac:dyDescent="0.3">
      <c r="A9" s="9">
        <v>150</v>
      </c>
      <c r="B9" s="4">
        <v>326.78465066113125</v>
      </c>
      <c r="C9" s="4">
        <v>383.26556842471888</v>
      </c>
    </row>
    <row r="10" spans="1:1000" x14ac:dyDescent="0.3">
      <c r="A10" s="9">
        <v>200</v>
      </c>
      <c r="B10" s="4">
        <v>380.03834461157476</v>
      </c>
      <c r="C10" s="4">
        <v>447.96411702147219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C426-DF10-4E3D-8B05-2AE55E972C60}">
  <sheetPr codeName="Sheet4"/>
  <dimension ref="A1:ALL11"/>
  <sheetViews>
    <sheetView workbookViewId="0">
      <selection activeCell="K2" sqref="K2"/>
    </sheetView>
  </sheetViews>
  <sheetFormatPr defaultRowHeight="14.4" x14ac:dyDescent="0.3"/>
  <sheetData>
    <row r="1" spans="1:1000" x14ac:dyDescent="0.3">
      <c r="A1" t="s">
        <v>24</v>
      </c>
      <c r="B1" t="str" cm="1">
        <f t="array" ref="B1:ALL1">IF(TRANSPOSE('Info Cuencas'!A2:A1000)=0,"",TRANSPOSE('Info Cuencas'!A2:A1000))</f>
        <v>C_01_CL</v>
      </c>
      <c r="C1" t="str">
        <v>C_02_CL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</row>
    <row r="2" spans="1:1000" x14ac:dyDescent="0.3">
      <c r="A2" s="9">
        <v>1</v>
      </c>
      <c r="B2" s="12">
        <v>0.14899999999999999</v>
      </c>
      <c r="C2" s="12">
        <v>0.14899999999999999</v>
      </c>
    </row>
    <row r="3" spans="1:1000" x14ac:dyDescent="0.3">
      <c r="A3" s="9">
        <v>2</v>
      </c>
      <c r="B3" s="12">
        <v>0.25900000000000001</v>
      </c>
      <c r="C3" s="12">
        <v>0.25900000000000001</v>
      </c>
    </row>
    <row r="4" spans="1:1000" x14ac:dyDescent="0.3">
      <c r="A4" s="9">
        <v>4</v>
      </c>
      <c r="B4" s="12">
        <v>0.438</v>
      </c>
      <c r="C4" s="12">
        <v>0.438</v>
      </c>
    </row>
    <row r="5" spans="1:1000" x14ac:dyDescent="0.3">
      <c r="A5" s="9">
        <v>6</v>
      </c>
      <c r="B5" s="12">
        <v>0.58699999999999997</v>
      </c>
      <c r="C5" s="12">
        <v>0.58699999999999997</v>
      </c>
    </row>
    <row r="6" spans="1:1000" x14ac:dyDescent="0.3">
      <c r="A6" s="9">
        <v>8</v>
      </c>
      <c r="B6" s="12">
        <v>0.65800000000000003</v>
      </c>
      <c r="C6" s="12">
        <v>0.65800000000000003</v>
      </c>
    </row>
    <row r="7" spans="1:1000" x14ac:dyDescent="0.3">
      <c r="A7" s="9">
        <v>10</v>
      </c>
      <c r="B7" s="12">
        <v>0.77600000000000002</v>
      </c>
      <c r="C7" s="12">
        <v>0.77600000000000002</v>
      </c>
    </row>
    <row r="8" spans="1:1000" x14ac:dyDescent="0.3">
      <c r="A8" s="9">
        <v>12</v>
      </c>
      <c r="B8" s="12">
        <v>0.81599999999999995</v>
      </c>
      <c r="C8" s="12">
        <v>0.81599999999999995</v>
      </c>
    </row>
    <row r="9" spans="1:1000" x14ac:dyDescent="0.3">
      <c r="A9" s="9">
        <v>14</v>
      </c>
      <c r="B9" s="12">
        <v>0.85599999999999998</v>
      </c>
      <c r="C9" s="12">
        <v>0.85599999999999998</v>
      </c>
    </row>
    <row r="10" spans="1:1000" x14ac:dyDescent="0.3">
      <c r="A10" s="9">
        <v>18</v>
      </c>
      <c r="B10" s="12">
        <v>0.90700000000000003</v>
      </c>
      <c r="C10" s="12">
        <v>0.90700000000000003</v>
      </c>
    </row>
    <row r="11" spans="1:1000" x14ac:dyDescent="0.3">
      <c r="A11" s="9">
        <v>24</v>
      </c>
      <c r="B11" s="12">
        <v>1</v>
      </c>
      <c r="C11" s="12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BFDF-ABB4-4287-9F76-768D0CF54D44}">
  <sheetPr codeName="Sheet5"/>
  <dimension ref="A1:N242"/>
  <sheetViews>
    <sheetView topLeftCell="H1" workbookViewId="0">
      <selection activeCell="P5" sqref="P5"/>
    </sheetView>
  </sheetViews>
  <sheetFormatPr defaultRowHeight="14.4" x14ac:dyDescent="0.3"/>
  <cols>
    <col min="1" max="1" width="12.88671875" bestFit="1" customWidth="1"/>
    <col min="2" max="2" width="17.6640625" bestFit="1" customWidth="1"/>
    <col min="4" max="4" width="12.88671875" bestFit="1" customWidth="1"/>
    <col min="5" max="5" width="17.6640625" bestFit="1" customWidth="1"/>
    <col min="6" max="6" width="8.88671875" customWidth="1"/>
    <col min="7" max="7" width="12.88671875" bestFit="1" customWidth="1"/>
    <col min="8" max="8" width="17.6640625" bestFit="1" customWidth="1"/>
    <col min="9" max="9" width="8.88671875" customWidth="1"/>
    <col min="10" max="10" width="12.88671875" bestFit="1" customWidth="1"/>
    <col min="11" max="11" width="17.6640625" bestFit="1" customWidth="1"/>
    <col min="12" max="12" width="8.88671875" customWidth="1"/>
    <col min="13" max="13" width="12.88671875" bestFit="1" customWidth="1"/>
    <col min="14" max="14" width="11.5546875" bestFit="1" customWidth="1"/>
  </cols>
  <sheetData>
    <row r="1" spans="1:14" x14ac:dyDescent="0.3">
      <c r="A1" s="9" t="s">
        <v>29</v>
      </c>
      <c r="B1" s="9" t="s">
        <v>32</v>
      </c>
      <c r="C1" s="9"/>
      <c r="D1" s="9" t="s">
        <v>33</v>
      </c>
      <c r="E1" s="9" t="s">
        <v>34</v>
      </c>
      <c r="F1" s="9"/>
      <c r="G1" s="9" t="s">
        <v>35</v>
      </c>
      <c r="H1" s="9" t="s">
        <v>36</v>
      </c>
      <c r="I1" s="9"/>
      <c r="J1" s="9" t="s">
        <v>37</v>
      </c>
      <c r="K1" s="9" t="s">
        <v>38</v>
      </c>
      <c r="L1" s="9"/>
      <c r="M1" s="9" t="s">
        <v>39</v>
      </c>
      <c r="N1" s="9" t="s">
        <v>40</v>
      </c>
    </row>
    <row r="2" spans="1:14" x14ac:dyDescent="0.3">
      <c r="A2" s="4" t="s">
        <v>30</v>
      </c>
      <c r="B2" s="4" t="s">
        <v>31</v>
      </c>
      <c r="C2" s="4"/>
      <c r="D2" s="4" t="s">
        <v>30</v>
      </c>
      <c r="E2" s="4" t="s">
        <v>31</v>
      </c>
      <c r="F2" s="4"/>
      <c r="G2" s="4" t="s">
        <v>30</v>
      </c>
      <c r="H2" s="4" t="s">
        <v>31</v>
      </c>
      <c r="I2" s="4"/>
      <c r="J2" s="4" t="s">
        <v>30</v>
      </c>
      <c r="K2" s="4" t="s">
        <v>31</v>
      </c>
      <c r="L2" s="4"/>
      <c r="M2" s="4" t="s">
        <v>30</v>
      </c>
      <c r="N2" s="4" t="s">
        <v>31</v>
      </c>
    </row>
    <row r="3" spans="1:14" x14ac:dyDescent="0.3">
      <c r="A3" s="16">
        <v>0</v>
      </c>
      <c r="B3" s="16">
        <v>0</v>
      </c>
      <c r="C3" s="4"/>
      <c r="D3" s="16">
        <v>0</v>
      </c>
      <c r="E3" s="16">
        <v>0</v>
      </c>
      <c r="F3" s="16"/>
      <c r="G3" s="16">
        <v>0</v>
      </c>
      <c r="H3" s="16">
        <v>0</v>
      </c>
      <c r="I3" s="16"/>
      <c r="J3" s="16">
        <v>0</v>
      </c>
      <c r="K3" s="16">
        <v>0</v>
      </c>
      <c r="L3" s="16"/>
      <c r="M3" s="16">
        <v>0</v>
      </c>
      <c r="N3" s="16">
        <v>0</v>
      </c>
    </row>
    <row r="4" spans="1:14" x14ac:dyDescent="0.3">
      <c r="A4" s="16">
        <v>0.1</v>
      </c>
      <c r="B4" s="16">
        <v>0.21016949152542386</v>
      </c>
      <c r="C4" s="4"/>
      <c r="D4" s="16">
        <v>0.1</v>
      </c>
      <c r="E4" s="16">
        <v>0.14006514657980451</v>
      </c>
      <c r="F4" s="16"/>
      <c r="G4" s="16">
        <v>0.1</v>
      </c>
      <c r="H4" s="16">
        <v>0.14726027397260277</v>
      </c>
      <c r="I4" s="16"/>
      <c r="J4" s="16">
        <v>4.1666666666666664E-2</v>
      </c>
      <c r="K4" s="16">
        <v>1.7000000000000001E-2</v>
      </c>
      <c r="L4" s="16"/>
      <c r="M4" s="16">
        <v>4.1666666666666664E-2</v>
      </c>
      <c r="N4" s="16">
        <v>0.02</v>
      </c>
    </row>
    <row r="5" spans="1:14" x14ac:dyDescent="0.3">
      <c r="A5" s="16">
        <v>0.2</v>
      </c>
      <c r="B5" s="16">
        <v>0.4</v>
      </c>
      <c r="C5" s="4"/>
      <c r="D5" s="16">
        <v>0.2</v>
      </c>
      <c r="E5" s="16">
        <v>0.28664495114006527</v>
      </c>
      <c r="F5" s="16"/>
      <c r="G5" s="16">
        <v>0.2</v>
      </c>
      <c r="H5" s="16">
        <v>0.26027397260273943</v>
      </c>
      <c r="I5" s="16"/>
      <c r="J5" s="16">
        <v>8.3333333333333329E-2</v>
      </c>
      <c r="K5" s="16">
        <v>3.5000000000000003E-2</v>
      </c>
      <c r="L5" s="16"/>
      <c r="M5" s="16">
        <v>8.3333333333333329E-2</v>
      </c>
      <c r="N5" s="16">
        <v>0.05</v>
      </c>
    </row>
    <row r="6" spans="1:14" x14ac:dyDescent="0.3">
      <c r="A6" s="16">
        <v>0.3</v>
      </c>
      <c r="B6" s="16">
        <v>0.54237288135593231</v>
      </c>
      <c r="C6" s="4"/>
      <c r="D6" s="16">
        <v>0.3</v>
      </c>
      <c r="E6" s="16">
        <v>0.42019543973941376</v>
      </c>
      <c r="F6" s="16"/>
      <c r="G6" s="16">
        <v>0.3</v>
      </c>
      <c r="H6" s="16">
        <v>0.36643835616438347</v>
      </c>
      <c r="I6" s="16"/>
      <c r="J6" s="16">
        <v>0.125</v>
      </c>
      <c r="K6" s="16">
        <v>5.5E-2</v>
      </c>
      <c r="L6" s="16"/>
      <c r="M6" s="16">
        <v>0.125</v>
      </c>
      <c r="N6" s="16">
        <v>8.2000000000000003E-2</v>
      </c>
    </row>
    <row r="7" spans="1:14" x14ac:dyDescent="0.3">
      <c r="A7" s="16">
        <v>0.4</v>
      </c>
      <c r="B7" s="16">
        <v>0.63050847457627146</v>
      </c>
      <c r="C7" s="4"/>
      <c r="D7" s="16">
        <v>0.4</v>
      </c>
      <c r="E7" s="16">
        <v>0.56026058631921827</v>
      </c>
      <c r="F7" s="16"/>
      <c r="G7" s="16">
        <v>0.4</v>
      </c>
      <c r="H7" s="16">
        <v>0.45547945205479456</v>
      </c>
      <c r="I7" s="16"/>
      <c r="J7" s="16">
        <v>0.16666666666666666</v>
      </c>
      <c r="K7" s="16">
        <v>7.5999999999999998E-2</v>
      </c>
      <c r="L7" s="16"/>
      <c r="M7" s="16">
        <v>0.16666666666666666</v>
      </c>
      <c r="N7" s="16">
        <v>0.11600000000000001</v>
      </c>
    </row>
    <row r="8" spans="1:14" x14ac:dyDescent="0.3">
      <c r="A8" s="16">
        <v>0.5</v>
      </c>
      <c r="B8" s="16">
        <v>0.71525423728813564</v>
      </c>
      <c r="C8" s="4"/>
      <c r="D8" s="16">
        <v>0.5</v>
      </c>
      <c r="E8" s="16">
        <v>0.72638436482084712</v>
      </c>
      <c r="F8" s="16"/>
      <c r="G8" s="16">
        <v>0.5</v>
      </c>
      <c r="H8" s="16">
        <v>0.54452054794520532</v>
      </c>
      <c r="I8" s="16"/>
      <c r="J8" s="16">
        <v>0.20833333333333334</v>
      </c>
      <c r="K8" s="16">
        <v>9.9000000000000005E-2</v>
      </c>
      <c r="L8" s="16"/>
      <c r="M8" s="16">
        <v>0.20833333333333334</v>
      </c>
      <c r="N8" s="16">
        <v>0.156</v>
      </c>
    </row>
    <row r="9" spans="1:14" x14ac:dyDescent="0.3">
      <c r="A9" s="16">
        <v>0.6</v>
      </c>
      <c r="B9" s="16">
        <v>0.78305084745762743</v>
      </c>
      <c r="C9" s="4"/>
      <c r="D9" s="16">
        <v>0.6</v>
      </c>
      <c r="E9" s="16">
        <v>0.80130293159609101</v>
      </c>
      <c r="F9" s="16"/>
      <c r="G9" s="16">
        <v>0.6</v>
      </c>
      <c r="H9" s="16">
        <v>0.68835616438356151</v>
      </c>
      <c r="I9" s="16"/>
      <c r="J9" s="16">
        <v>0.25</v>
      </c>
      <c r="K9" s="16">
        <v>0.126</v>
      </c>
      <c r="L9" s="16"/>
      <c r="M9" s="16">
        <v>0.25</v>
      </c>
      <c r="N9" s="16">
        <v>0.20599999999999999</v>
      </c>
    </row>
    <row r="10" spans="1:14" x14ac:dyDescent="0.3">
      <c r="A10" s="16">
        <v>0.7</v>
      </c>
      <c r="B10" s="16">
        <v>0.85423728813559352</v>
      </c>
      <c r="C10" s="4"/>
      <c r="D10" s="16">
        <v>0.7</v>
      </c>
      <c r="E10" s="16">
        <v>0.8827361563517917</v>
      </c>
      <c r="F10" s="16"/>
      <c r="G10" s="16">
        <v>0.7</v>
      </c>
      <c r="H10" s="16">
        <v>0.81164383561643805</v>
      </c>
      <c r="I10" s="16"/>
      <c r="J10" s="16">
        <v>0.29166666666666669</v>
      </c>
      <c r="K10" s="16">
        <v>0.156</v>
      </c>
      <c r="L10" s="16"/>
      <c r="M10" s="16">
        <v>0.29166666666666669</v>
      </c>
      <c r="N10" s="16">
        <v>0.26800000000000002</v>
      </c>
    </row>
    <row r="11" spans="1:14" x14ac:dyDescent="0.3">
      <c r="A11" s="16">
        <v>0.8</v>
      </c>
      <c r="B11" s="16">
        <v>0.91186440677966119</v>
      </c>
      <c r="C11" s="4"/>
      <c r="D11" s="16">
        <v>0.8</v>
      </c>
      <c r="E11" s="16">
        <v>0.94136807817589574</v>
      </c>
      <c r="F11" s="16"/>
      <c r="G11" s="16">
        <v>0.8</v>
      </c>
      <c r="H11" s="16">
        <v>0.90753424657534243</v>
      </c>
      <c r="I11" s="16"/>
      <c r="J11" s="16">
        <v>0.33333333333333331</v>
      </c>
      <c r="K11" s="16">
        <v>0.19400000000000001</v>
      </c>
      <c r="L11" s="16"/>
      <c r="M11" s="16">
        <v>0.33333333333333331</v>
      </c>
      <c r="N11" s="16">
        <v>0.42499999999999999</v>
      </c>
    </row>
    <row r="12" spans="1:14" x14ac:dyDescent="0.3">
      <c r="A12" s="16">
        <v>0.9</v>
      </c>
      <c r="B12" s="16">
        <v>0.95932203389830528</v>
      </c>
      <c r="C12" s="4"/>
      <c r="D12" s="16">
        <v>0.9</v>
      </c>
      <c r="E12" s="16">
        <v>0.97394136807817577</v>
      </c>
      <c r="F12" s="16"/>
      <c r="G12" s="16">
        <v>0.9</v>
      </c>
      <c r="H12" s="16">
        <v>0.96232876712328763</v>
      </c>
      <c r="I12" s="16"/>
      <c r="J12" s="16">
        <v>0.375</v>
      </c>
      <c r="K12" s="16">
        <v>0.254</v>
      </c>
      <c r="L12" s="16"/>
      <c r="M12" s="16">
        <v>0.375</v>
      </c>
      <c r="N12" s="16">
        <v>0.52</v>
      </c>
    </row>
    <row r="13" spans="1:14" x14ac:dyDescent="0.3">
      <c r="A13" s="16">
        <v>1</v>
      </c>
      <c r="B13" s="16">
        <v>1</v>
      </c>
      <c r="C13" s="4"/>
      <c r="D13" s="16">
        <v>1</v>
      </c>
      <c r="E13" s="16">
        <v>1</v>
      </c>
      <c r="F13" s="16"/>
      <c r="G13" s="16">
        <v>1</v>
      </c>
      <c r="H13" s="16">
        <v>1</v>
      </c>
      <c r="I13" s="16"/>
      <c r="J13" s="16">
        <v>0.41666666666666669</v>
      </c>
      <c r="K13" s="16">
        <v>0.51500000000000001</v>
      </c>
      <c r="L13" s="16"/>
      <c r="M13" s="16">
        <v>0.41666666666666669</v>
      </c>
      <c r="N13" s="16">
        <v>0.57699999999999996</v>
      </c>
    </row>
    <row r="14" spans="1:14" x14ac:dyDescent="0.3">
      <c r="A14" s="4"/>
      <c r="B14" s="4"/>
      <c r="C14" s="4"/>
      <c r="D14" s="4"/>
      <c r="E14" s="4"/>
      <c r="F14" s="4"/>
      <c r="G14" s="4"/>
      <c r="H14" s="4"/>
      <c r="I14" s="16"/>
      <c r="J14" s="16">
        <v>0.45833333333333331</v>
      </c>
      <c r="K14" s="16">
        <v>0.624</v>
      </c>
      <c r="L14" s="16"/>
      <c r="M14" s="16">
        <v>0.45833333333333331</v>
      </c>
      <c r="N14" s="16">
        <v>0.624</v>
      </c>
    </row>
    <row r="15" spans="1:14" x14ac:dyDescent="0.3">
      <c r="A15" s="4"/>
      <c r="B15" s="4"/>
      <c r="C15" s="4"/>
      <c r="D15" s="4"/>
      <c r="E15" s="4"/>
      <c r="F15" s="4"/>
      <c r="G15" s="4"/>
      <c r="H15" s="4"/>
      <c r="I15" s="16"/>
      <c r="J15" s="16">
        <v>0.5</v>
      </c>
      <c r="K15" s="16">
        <v>0.68200000000000005</v>
      </c>
      <c r="L15" s="16"/>
      <c r="M15" s="16">
        <v>0.5</v>
      </c>
      <c r="N15" s="16">
        <v>0.66400000000000003</v>
      </c>
    </row>
    <row r="16" spans="1:14" x14ac:dyDescent="0.3">
      <c r="A16" s="4"/>
      <c r="B16" s="4"/>
      <c r="C16" s="4"/>
      <c r="D16" s="4"/>
      <c r="E16" s="4"/>
      <c r="F16" s="4"/>
      <c r="G16" s="4"/>
      <c r="H16" s="4"/>
      <c r="I16" s="16"/>
      <c r="J16" s="16">
        <v>0.54166666666666663</v>
      </c>
      <c r="K16" s="16">
        <v>0.72799999999999998</v>
      </c>
      <c r="L16" s="16"/>
      <c r="M16" s="16">
        <v>0.54166666666666663</v>
      </c>
      <c r="N16" s="16">
        <v>0.70099999999999996</v>
      </c>
    </row>
    <row r="17" spans="1:14" x14ac:dyDescent="0.3">
      <c r="A17" s="4"/>
      <c r="B17" s="4"/>
      <c r="C17" s="4"/>
      <c r="D17" s="4"/>
      <c r="E17" s="4"/>
      <c r="F17" s="4"/>
      <c r="G17" s="4"/>
      <c r="H17" s="4"/>
      <c r="I17" s="16"/>
      <c r="J17" s="16">
        <v>0.58333333333333337</v>
      </c>
      <c r="K17" s="16">
        <v>0.76600000000000001</v>
      </c>
      <c r="L17" s="16"/>
      <c r="M17" s="16">
        <v>0.58333333333333337</v>
      </c>
      <c r="N17" s="16">
        <v>0.73599999999999999</v>
      </c>
    </row>
    <row r="18" spans="1:14" x14ac:dyDescent="0.3">
      <c r="A18" s="4"/>
      <c r="B18" s="4"/>
      <c r="C18" s="4"/>
      <c r="D18" s="4"/>
      <c r="E18" s="4"/>
      <c r="F18" s="4"/>
      <c r="G18" s="4"/>
      <c r="H18" s="4"/>
      <c r="I18" s="16"/>
      <c r="J18" s="16">
        <v>0.625</v>
      </c>
      <c r="K18" s="16">
        <v>0.79900000000000004</v>
      </c>
      <c r="L18" s="16"/>
      <c r="M18" s="16">
        <v>0.625</v>
      </c>
      <c r="N18" s="16">
        <v>0.76900000000000002</v>
      </c>
    </row>
    <row r="19" spans="1:14" x14ac:dyDescent="0.3">
      <c r="A19" s="4"/>
      <c r="B19" s="4"/>
      <c r="C19" s="4"/>
      <c r="D19" s="4"/>
      <c r="E19" s="4"/>
      <c r="F19" s="4"/>
      <c r="G19" s="4"/>
      <c r="H19" s="4"/>
      <c r="I19" s="16"/>
      <c r="J19" s="16">
        <v>0.66666666666666663</v>
      </c>
      <c r="K19" s="16">
        <v>0.83</v>
      </c>
      <c r="L19" s="16"/>
      <c r="M19" s="16">
        <v>0.66666666666666663</v>
      </c>
      <c r="N19" s="16">
        <v>0.8</v>
      </c>
    </row>
    <row r="20" spans="1:14" x14ac:dyDescent="0.3">
      <c r="A20" s="4"/>
      <c r="B20" s="4"/>
      <c r="C20" s="4"/>
      <c r="D20" s="4"/>
      <c r="E20" s="4"/>
      <c r="F20" s="4"/>
      <c r="G20" s="4"/>
      <c r="H20" s="4"/>
      <c r="I20" s="16"/>
      <c r="J20" s="16">
        <v>0.70833333333333337</v>
      </c>
      <c r="K20" s="16">
        <v>0.85699999999999998</v>
      </c>
      <c r="L20" s="16"/>
      <c r="M20" s="16">
        <v>0.70833333333333337</v>
      </c>
      <c r="N20" s="16">
        <v>0.83</v>
      </c>
    </row>
    <row r="21" spans="1:14" x14ac:dyDescent="0.3">
      <c r="A21" s="4"/>
      <c r="B21" s="4"/>
      <c r="C21" s="4"/>
      <c r="D21" s="4"/>
      <c r="E21" s="4"/>
      <c r="F21" s="4"/>
      <c r="G21" s="4"/>
      <c r="H21" s="4"/>
      <c r="I21" s="16"/>
      <c r="J21" s="16">
        <v>0.75</v>
      </c>
      <c r="K21" s="16">
        <v>0.88200000000000001</v>
      </c>
      <c r="L21" s="16"/>
      <c r="M21" s="16">
        <v>0.75</v>
      </c>
      <c r="N21" s="16">
        <v>0.85799999999999998</v>
      </c>
    </row>
    <row r="22" spans="1:14" x14ac:dyDescent="0.3">
      <c r="A22" s="4"/>
      <c r="B22" s="4"/>
      <c r="C22" s="4"/>
      <c r="D22" s="4"/>
      <c r="E22" s="4"/>
      <c r="F22" s="4"/>
      <c r="G22" s="4"/>
      <c r="H22" s="4"/>
      <c r="I22" s="16"/>
      <c r="J22" s="16">
        <v>0.79166666666666663</v>
      </c>
      <c r="K22" s="16">
        <v>0.90500000000000003</v>
      </c>
      <c r="L22" s="16"/>
      <c r="M22" s="16">
        <v>0.79166666666666663</v>
      </c>
      <c r="N22" s="16">
        <v>0.88400000000000001</v>
      </c>
    </row>
    <row r="23" spans="1:14" x14ac:dyDescent="0.3">
      <c r="A23" s="4"/>
      <c r="B23" s="4"/>
      <c r="C23" s="4"/>
      <c r="D23" s="4"/>
      <c r="E23" s="4"/>
      <c r="F23" s="4"/>
      <c r="G23" s="4"/>
      <c r="H23" s="4"/>
      <c r="I23" s="16"/>
      <c r="J23" s="16">
        <v>0.83333333333333337</v>
      </c>
      <c r="K23" s="16">
        <v>0.92600000000000005</v>
      </c>
      <c r="L23" s="16"/>
      <c r="M23" s="16">
        <v>0.83333333333333337</v>
      </c>
      <c r="N23" s="16">
        <v>0.90800000000000003</v>
      </c>
    </row>
    <row r="24" spans="1:14" x14ac:dyDescent="0.3">
      <c r="A24" s="4"/>
      <c r="B24" s="4"/>
      <c r="C24" s="4"/>
      <c r="D24" s="4"/>
      <c r="E24" s="4"/>
      <c r="F24" s="4"/>
      <c r="G24" s="4"/>
      <c r="H24" s="4"/>
      <c r="I24" s="16"/>
      <c r="J24" s="16">
        <v>0.875</v>
      </c>
      <c r="K24" s="16">
        <v>0.94599999999999995</v>
      </c>
      <c r="L24" s="16"/>
      <c r="M24" s="16">
        <v>0.875</v>
      </c>
      <c r="N24" s="16">
        <v>0.93200000000000005</v>
      </c>
    </row>
    <row r="25" spans="1:14" x14ac:dyDescent="0.3">
      <c r="A25" s="4"/>
      <c r="B25" s="4"/>
      <c r="C25" s="4"/>
      <c r="D25" s="4"/>
      <c r="E25" s="4"/>
      <c r="F25" s="4"/>
      <c r="G25" s="4"/>
      <c r="H25" s="4"/>
      <c r="I25" s="16"/>
      <c r="J25" s="16">
        <v>0.91666666666666663</v>
      </c>
      <c r="K25" s="16">
        <v>0.96499999999999997</v>
      </c>
      <c r="L25" s="16"/>
      <c r="M25" s="16">
        <v>0.91666666666666663</v>
      </c>
      <c r="N25" s="16">
        <v>0.95599999999999996</v>
      </c>
    </row>
    <row r="26" spans="1:14" x14ac:dyDescent="0.3">
      <c r="A26" s="4"/>
      <c r="B26" s="4"/>
      <c r="C26" s="4"/>
      <c r="D26" s="4"/>
      <c r="E26" s="4"/>
      <c r="F26" s="4"/>
      <c r="G26" s="4"/>
      <c r="H26" s="4"/>
      <c r="I26" s="16"/>
      <c r="J26" s="16">
        <v>0.95833333333333337</v>
      </c>
      <c r="K26" s="16">
        <v>0.98299999999999998</v>
      </c>
      <c r="L26" s="16"/>
      <c r="M26" s="16">
        <v>0.95833333333333337</v>
      </c>
      <c r="N26" s="16">
        <v>0.97799999999999998</v>
      </c>
    </row>
    <row r="27" spans="1:14" x14ac:dyDescent="0.3">
      <c r="A27" s="4"/>
      <c r="B27" s="4"/>
      <c r="C27" s="4"/>
      <c r="D27" s="4"/>
      <c r="E27" s="4"/>
      <c r="F27" s="4"/>
      <c r="G27" s="4"/>
      <c r="H27" s="4"/>
      <c r="I27" s="16"/>
      <c r="J27" s="16">
        <v>1</v>
      </c>
      <c r="K27" s="16">
        <v>1</v>
      </c>
      <c r="L27" s="16"/>
      <c r="M27" s="16">
        <v>1</v>
      </c>
      <c r="N27" s="16">
        <v>1</v>
      </c>
    </row>
    <row r="28" spans="1:14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9F95-56CA-420C-A8F3-E6555BAE56CD}">
  <sheetPr codeName="Sheet6"/>
  <dimension ref="A1:C34"/>
  <sheetViews>
    <sheetView workbookViewId="0">
      <selection activeCell="H5" sqref="H5"/>
    </sheetView>
  </sheetViews>
  <sheetFormatPr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s="14">
        <v>0</v>
      </c>
      <c r="B2" s="15">
        <v>0</v>
      </c>
      <c r="C2" s="15">
        <v>0</v>
      </c>
    </row>
    <row r="3" spans="1:3" x14ac:dyDescent="0.3">
      <c r="A3">
        <v>0.1</v>
      </c>
      <c r="B3" s="15">
        <v>0.03</v>
      </c>
      <c r="C3">
        <v>1E-3</v>
      </c>
    </row>
    <row r="4" spans="1:3" x14ac:dyDescent="0.3">
      <c r="A4">
        <v>0.2</v>
      </c>
      <c r="B4" s="15">
        <v>0.1</v>
      </c>
      <c r="C4">
        <v>6.0000000000000001E-3</v>
      </c>
    </row>
    <row r="5" spans="1:3" x14ac:dyDescent="0.3">
      <c r="A5">
        <v>0.3</v>
      </c>
      <c r="B5" s="15">
        <v>0.19</v>
      </c>
      <c r="C5">
        <v>1.7000000000000001E-2</v>
      </c>
    </row>
    <row r="6" spans="1:3" x14ac:dyDescent="0.3">
      <c r="A6">
        <v>0.4</v>
      </c>
      <c r="B6" s="15">
        <v>0.31</v>
      </c>
      <c r="C6">
        <v>3.5000000000000003E-2</v>
      </c>
    </row>
    <row r="7" spans="1:3" x14ac:dyDescent="0.3">
      <c r="A7">
        <v>0.5</v>
      </c>
      <c r="B7" s="15">
        <v>0.47</v>
      </c>
      <c r="C7">
        <v>6.5000000000000002E-2</v>
      </c>
    </row>
    <row r="8" spans="1:3" x14ac:dyDescent="0.3">
      <c r="A8">
        <v>0.6</v>
      </c>
      <c r="B8" s="15">
        <v>0.66</v>
      </c>
      <c r="C8">
        <v>0.107</v>
      </c>
    </row>
    <row r="9" spans="1:3" x14ac:dyDescent="0.3">
      <c r="A9">
        <v>0.7</v>
      </c>
      <c r="B9" s="15">
        <v>0.82</v>
      </c>
      <c r="C9">
        <v>0.16300000000000001</v>
      </c>
    </row>
    <row r="10" spans="1:3" x14ac:dyDescent="0.3">
      <c r="A10">
        <v>0.8</v>
      </c>
      <c r="B10" s="15">
        <v>0.93</v>
      </c>
      <c r="C10" s="15">
        <v>0.22800000000000001</v>
      </c>
    </row>
    <row r="11" spans="1:3" x14ac:dyDescent="0.3">
      <c r="A11">
        <v>0.9</v>
      </c>
      <c r="B11" s="15">
        <v>0.99</v>
      </c>
      <c r="C11" s="15">
        <v>0.3</v>
      </c>
    </row>
    <row r="12" spans="1:3" x14ac:dyDescent="0.3">
      <c r="A12" s="14">
        <v>1</v>
      </c>
      <c r="B12" s="15">
        <v>1</v>
      </c>
      <c r="C12">
        <v>0.375</v>
      </c>
    </row>
    <row r="13" spans="1:3" x14ac:dyDescent="0.3">
      <c r="A13">
        <v>1.1000000000000001</v>
      </c>
      <c r="B13" s="15">
        <v>0.99</v>
      </c>
      <c r="C13" s="15">
        <v>0.45</v>
      </c>
    </row>
    <row r="14" spans="1:3" x14ac:dyDescent="0.3">
      <c r="A14">
        <v>1.2</v>
      </c>
      <c r="B14" s="15">
        <v>0.93</v>
      </c>
      <c r="C14">
        <v>0.52200000000000002</v>
      </c>
    </row>
    <row r="15" spans="1:3" x14ac:dyDescent="0.3">
      <c r="A15">
        <v>1.3</v>
      </c>
      <c r="B15" s="15">
        <v>0.86</v>
      </c>
      <c r="C15">
        <v>0.58899999999999997</v>
      </c>
    </row>
    <row r="16" spans="1:3" x14ac:dyDescent="0.3">
      <c r="A16">
        <v>1.4</v>
      </c>
      <c r="B16" s="15">
        <v>0.78</v>
      </c>
      <c r="C16" s="15">
        <v>0.65</v>
      </c>
    </row>
    <row r="17" spans="1:3" x14ac:dyDescent="0.3">
      <c r="A17">
        <v>1.5</v>
      </c>
      <c r="B17" s="15">
        <v>0.68</v>
      </c>
      <c r="C17">
        <v>0.70499999999999996</v>
      </c>
    </row>
    <row r="18" spans="1:3" x14ac:dyDescent="0.3">
      <c r="A18">
        <v>1.6</v>
      </c>
      <c r="B18" s="15">
        <v>0.56000000000000005</v>
      </c>
      <c r="C18">
        <v>0.751</v>
      </c>
    </row>
    <row r="19" spans="1:3" x14ac:dyDescent="0.3">
      <c r="A19">
        <v>1.7</v>
      </c>
      <c r="B19" s="15">
        <v>0.46</v>
      </c>
      <c r="C19" s="15">
        <v>0.79</v>
      </c>
    </row>
    <row r="20" spans="1:3" x14ac:dyDescent="0.3">
      <c r="A20">
        <v>1.8</v>
      </c>
      <c r="B20" s="15">
        <v>0.39</v>
      </c>
      <c r="C20">
        <v>0.82199999999999995</v>
      </c>
    </row>
    <row r="21" spans="1:3" x14ac:dyDescent="0.3">
      <c r="A21">
        <v>1.9</v>
      </c>
      <c r="B21" s="15">
        <v>0.33</v>
      </c>
      <c r="C21">
        <v>0.84899999999999998</v>
      </c>
    </row>
    <row r="22" spans="1:3" x14ac:dyDescent="0.3">
      <c r="A22" s="14">
        <v>2</v>
      </c>
      <c r="B22" s="15">
        <v>0.28000000000000003</v>
      </c>
      <c r="C22">
        <v>0.871</v>
      </c>
    </row>
    <row r="23" spans="1:3" x14ac:dyDescent="0.3">
      <c r="A23">
        <v>2.2000000000000002</v>
      </c>
      <c r="B23" s="15">
        <v>0.20699999999999999</v>
      </c>
      <c r="C23">
        <v>0.90800000000000003</v>
      </c>
    </row>
    <row r="24" spans="1:3" x14ac:dyDescent="0.3">
      <c r="A24">
        <v>2.4</v>
      </c>
      <c r="B24" s="15">
        <v>0.14699999999999999</v>
      </c>
      <c r="C24">
        <v>0.93400000000000005</v>
      </c>
    </row>
    <row r="25" spans="1:3" x14ac:dyDescent="0.3">
      <c r="A25">
        <v>2.6</v>
      </c>
      <c r="B25" s="15">
        <v>0.107</v>
      </c>
      <c r="C25">
        <v>0.95299999999999996</v>
      </c>
    </row>
    <row r="26" spans="1:3" x14ac:dyDescent="0.3">
      <c r="A26">
        <v>2.8</v>
      </c>
      <c r="B26" s="15">
        <v>7.6999999999999999E-2</v>
      </c>
      <c r="C26">
        <v>0.96699999999999997</v>
      </c>
    </row>
    <row r="27" spans="1:3" x14ac:dyDescent="0.3">
      <c r="A27" s="14">
        <v>3</v>
      </c>
      <c r="B27" s="15">
        <v>5.5E-2</v>
      </c>
      <c r="C27">
        <v>0.97699999999999998</v>
      </c>
    </row>
    <row r="28" spans="1:3" x14ac:dyDescent="0.3">
      <c r="A28">
        <v>3.2</v>
      </c>
      <c r="B28" s="15">
        <v>0.04</v>
      </c>
      <c r="C28">
        <v>0.98399999999999999</v>
      </c>
    </row>
    <row r="29" spans="1:3" x14ac:dyDescent="0.3">
      <c r="A29">
        <v>3.4</v>
      </c>
      <c r="B29" s="15">
        <v>2.9000000000000001E-2</v>
      </c>
      <c r="C29">
        <v>0.98899999999999999</v>
      </c>
    </row>
    <row r="30" spans="1:3" x14ac:dyDescent="0.3">
      <c r="A30">
        <v>3.6</v>
      </c>
      <c r="B30" s="15">
        <v>2.1000000000000001E-2</v>
      </c>
      <c r="C30">
        <v>0.99299999999999999</v>
      </c>
    </row>
    <row r="31" spans="1:3" x14ac:dyDescent="0.3">
      <c r="A31">
        <v>3.8</v>
      </c>
      <c r="B31" s="15">
        <v>1.4999999999999999E-2</v>
      </c>
      <c r="C31">
        <v>0.995</v>
      </c>
    </row>
    <row r="32" spans="1:3" x14ac:dyDescent="0.3">
      <c r="A32" s="14">
        <v>4</v>
      </c>
      <c r="B32" s="15">
        <v>1.0999999999999999E-2</v>
      </c>
      <c r="C32">
        <v>0.997</v>
      </c>
    </row>
    <row r="33" spans="1:3" x14ac:dyDescent="0.3">
      <c r="A33">
        <v>4.5</v>
      </c>
      <c r="B33" s="15">
        <v>5.0000000000000001E-3</v>
      </c>
      <c r="C33">
        <v>0.999</v>
      </c>
    </row>
    <row r="34" spans="1:3" x14ac:dyDescent="0.3">
      <c r="A34" s="14">
        <v>5</v>
      </c>
      <c r="B34" s="15">
        <v>0</v>
      </c>
      <c r="C34" s="1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1C2B958A07241A317F5A881DFD30C" ma:contentTypeVersion="18" ma:contentTypeDescription="Create a new document." ma:contentTypeScope="" ma:versionID="ec29f518eb9a62149baea9c73f5411cd">
  <xsd:schema xmlns:xsd="http://www.w3.org/2001/XMLSchema" xmlns:xs="http://www.w3.org/2001/XMLSchema" xmlns:p="http://schemas.microsoft.com/office/2006/metadata/properties" xmlns:ns2="63768118-86e2-4829-8a12-b72c47658d02" xmlns:ns3="40414187-dd76-4ef8-b04f-ccddae734140" targetNamespace="http://schemas.microsoft.com/office/2006/metadata/properties" ma:root="true" ma:fieldsID="29f6242226419d82ce7554acb1ee2c31" ns2:_="" ns3:_="">
    <xsd:import namespace="63768118-86e2-4829-8a12-b72c47658d02"/>
    <xsd:import namespace="40414187-dd76-4ef8-b04f-ccddae73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68118-86e2-4829-8a12-b72c47658d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46cb916-533d-4f5b-b218-16d8f39812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14187-dd76-4ef8-b04f-ccddae73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af2f6a2-d75c-4e6a-918f-c8e2e64599b7}" ma:internalName="TaxCatchAll" ma:showField="CatchAllData" ma:web="40414187-dd76-4ef8-b04f-ccddae7341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414187-dd76-4ef8-b04f-ccddae734140" xsi:nil="true"/>
    <lcf76f155ced4ddcb4097134ff3c332f xmlns="63768118-86e2-4829-8a12-b72c47658d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4384BF-B442-43EF-BEBD-26F0C0319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768118-86e2-4829-8a12-b72c47658d02"/>
    <ds:schemaRef ds:uri="40414187-dd76-4ef8-b04f-ccddae7341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BC43C4-0DE4-4398-8C07-F13A343322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4DA3E6-B8B6-48A6-81EC-CAAD4DEE707B}">
  <ds:schemaRefs>
    <ds:schemaRef ds:uri="http://schemas.microsoft.com/office/2006/metadata/properties"/>
    <ds:schemaRef ds:uri="http://schemas.microsoft.com/office/infopath/2007/PartnerControls"/>
    <ds:schemaRef ds:uri="40414187-dd76-4ef8-b04f-ccddae734140"/>
    <ds:schemaRef ds:uri="63768118-86e2-4829-8a12-b72c47658d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 Cuencas</vt:lpstr>
      <vt:lpstr>HUS</vt:lpstr>
      <vt:lpstr>Pp Max</vt:lpstr>
      <vt:lpstr>CD</vt:lpstr>
      <vt:lpstr>Tormentas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Garcia</dc:creator>
  <cp:keywords/>
  <dc:description/>
  <cp:lastModifiedBy>Felipe Garcia</cp:lastModifiedBy>
  <cp:revision/>
  <dcterms:created xsi:type="dcterms:W3CDTF">2015-06-05T18:17:20Z</dcterms:created>
  <dcterms:modified xsi:type="dcterms:W3CDTF">2026-08-24T18:03:48Z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0x010100CCB1C2B958A07241A317F5A881DFD30C</vt:lpwstr>
  </property>
  <property fmtid="{D5CDD505-2E9C-101B-9397-08002B2CF9AE}" pid="3" name="MediaServiceImageTags">
    <vt:lpwstr/>
  </property>
</Properties>
</file>