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72404BA4-EBF0-4ED1-9610-FA9E114747AD}" xr6:coauthVersionLast="47" xr6:coauthVersionMax="47" xr10:uidLastSave="{00000000-0000-0000-0000-000000000000}"/>
  <bookViews>
    <workbookView xWindow="-28920" yWindow="-120" windowWidth="29040" windowHeight="15720" activeTab="4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DT_USC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 a="1"/>
  <c r="B1" i="4" s="1"/>
  <c r="B1" i="3" a="1"/>
  <c r="B1" i="3" s="1"/>
  <c r="D2" i="2" l="1"/>
  <c r="E2" i="2"/>
  <c r="F3" i="2" l="1"/>
  <c r="F4" i="2"/>
  <c r="F5" i="2"/>
  <c r="F2" i="2"/>
  <c r="E3" i="2"/>
  <c r="E10" i="2"/>
  <c r="E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3" i="2"/>
  <c r="D7" i="2"/>
  <c r="D8" i="2"/>
  <c r="D9" i="2"/>
  <c r="B2" i="2"/>
  <c r="R2" i="1"/>
  <c r="B3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A3" i="2"/>
  <c r="A4" i="2"/>
  <c r="B4" i="2" s="1"/>
  <c r="A5" i="2"/>
  <c r="B5" i="2" s="1"/>
  <c r="A6" i="2"/>
  <c r="B6" i="2" s="1"/>
  <c r="A7" i="2"/>
  <c r="F7" i="2" s="1"/>
  <c r="A8" i="2"/>
  <c r="F8" i="2" s="1"/>
  <c r="A9" i="2"/>
  <c r="F9" i="2" s="1"/>
  <c r="A10" i="2"/>
  <c r="F10" i="2" s="1"/>
  <c r="A11" i="2"/>
  <c r="B11" i="2" s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D10" i="2" l="1"/>
  <c r="F6" i="2"/>
  <c r="D6" i="2"/>
  <c r="E9" i="2"/>
  <c r="F11" i="2"/>
  <c r="D5" i="2"/>
  <c r="E8" i="2"/>
  <c r="B10" i="2"/>
  <c r="D4" i="2"/>
  <c r="E7" i="2"/>
  <c r="B9" i="2"/>
  <c r="E6" i="2"/>
  <c r="B8" i="2"/>
  <c r="D11" i="2"/>
  <c r="E5" i="2"/>
  <c r="B7" i="2"/>
  <c r="E4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<sst xmlns="http://schemas.openxmlformats.org/spreadsheetml/2006/main" count="32" uniqueCount="31">
  <si>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</si>
  <si>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</si>
  <si>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</si>
  <si>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</si>
  <si>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</si>
  <si>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</si>
  <si>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</si>
  <si>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</si>
  <si>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</si>
  <si>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</si>
  <si>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</si>
  <si>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</si>
  <si>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</si>
  <si>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</si>
  <si>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</si>
  <si>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</si>
  <si>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</si>
  <si>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</si>
  <si>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</si>
  <si>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</si>
  <si>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</si>
  <si>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</si>
  <si>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</si>
  <si>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</si>
  <si>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</si>
  <si>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III</t>
  </si>
  <si>
    <t>II</t>
  </si>
  <si>
    <t>IA</t>
  </si>
  <si>
    <t>I</t>
  </si>
  <si>
    <t>T</t>
  </si>
  <si>
    <t>% 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</si>
</sst>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T17" sqref="T17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G100"/>
  <sheetViews>
    <sheetView workbookViewId="0">
      <selection activeCell="E11" sqref="E11"/>
    </sheetView>
  </sheetViews>
  <sheetFormatPr defaultRowHeight="14.4" x14ac:dyDescent="0.3"/>
  <cols>
    <col min="1" max="1" width="14.6640625" customWidth="1"/>
    <col min="2" max="6" width="12.6640625" customWidth="1"/>
    <col min="13" max="13" width="10" bestFit="1" customWidth="1"/>
    <col min="16" max="16" width="11" bestFit="1" customWidth="1"/>
  </cols>
  <sheetData>
    <row r="1" spans="1:7" ht="55.2" customHeight="1" x14ac:dyDescent="0.3">
      <c r="A1" s="7" t="s">
        <v>0</v>
      </c>
      <c r="B1" s="8" t="s">
        <v>19</v>
      </c>
      <c r="C1" s="8" t="s">
        <v>20</v>
      </c>
      <c r="D1" s="2" t="s">
        <v>21</v>
      </c>
      <c r="E1" s="2" t="s">
        <v>22</v>
      </c>
      <c r="F1" s="2" t="s">
        <v>23</v>
      </c>
    </row>
    <row r="2" spans="1:7" x14ac:dyDescent="0.3">
      <c r="A2" t="str">
        <f>IF(ISBLANK('Info Cuencas'!A2),"",'Info Cuencas'!A2)</f>
        <v>C_01_CL</v>
      </c>
      <c r="B2" s="6">
        <f>IF(A2="","",0.133*'Info Cuencas'!R2)</f>
        <v>0.76073282726013913</v>
      </c>
      <c r="C2" s="11">
        <v>0.05</v>
      </c>
      <c r="D2" s="6">
        <f>IF(A2="","",0.6*'Info Cuencas'!R2+HUS!C2/2)</f>
        <v>3.4568774162111535</v>
      </c>
      <c r="E2" s="6">
        <f>IF(A2="","",2.67*D2)</f>
        <v>9.2298627012837802</v>
      </c>
      <c r="F2" s="6">
        <f>IF(A2="","",0.208*'Info Cuencas'!B2/HUS!D2)</f>
        <v>7.0561854133476336</v>
      </c>
      <c r="G2" s="6"/>
    </row>
    <row r="3" spans="1:7" x14ac:dyDescent="0.3">
      <c r="A3" t="str">
        <f>IF(ISBLANK('Info Cuencas'!A3),"",'Info Cuencas'!A3)</f>
        <v>C_02_CL</v>
      </c>
      <c r="B3" s="6">
        <f>IF(A3="","",0.133*'Info Cuencas'!R3)</f>
        <v>1.0943707430089464</v>
      </c>
      <c r="C3" s="11">
        <v>0.05</v>
      </c>
      <c r="D3" s="6">
        <f>IF(A3="","",0.6*'Info Cuencas'!R3+HUS!C3/2)</f>
        <v>4.9620108707170507</v>
      </c>
      <c r="E3" s="6">
        <f t="shared" ref="E3:E11" si="0">IF(A3="","",2.67*D3)</f>
        <v>13.248569024814525</v>
      </c>
      <c r="F3" s="6">
        <f>IF(A3="","",0.208*'Info Cuencas'!B3/HUS!D3)</f>
        <v>18.768584436120346</v>
      </c>
      <c r="G3" s="6"/>
    </row>
    <row r="4" spans="1:7" x14ac:dyDescent="0.3">
      <c r="A4" t="str">
        <f>IF(ISBLANK('Info Cuencas'!A4),"",'Info Cuencas'!A4)</f>
        <v/>
      </c>
      <c r="B4" s="6" t="str">
        <f>IF(A4="","",0.133*'Info Cuencas'!R4)</f>
        <v/>
      </c>
      <c r="C4" s="9"/>
      <c r="D4" s="6" t="str">
        <f>IF(A4="","",0.6*'Info Cuencas'!R4+HUS!C4/2)</f>
        <v/>
      </c>
      <c r="E4" s="6" t="str">
        <f t="shared" si="0"/>
        <v/>
      </c>
      <c r="F4" s="6" t="str">
        <f>IF(A4="","",0.208*'Info Cuencas'!B4/HUS!D4)</f>
        <v/>
      </c>
      <c r="G4" s="6"/>
    </row>
    <row r="5" spans="1:7" x14ac:dyDescent="0.3">
      <c r="A5" t="str">
        <f>IF(ISBLANK('Info Cuencas'!A5),"",'Info Cuencas'!A5)</f>
        <v/>
      </c>
      <c r="B5" s="6" t="str">
        <f>IF(A5="","",0.133*'Info Cuencas'!R5)</f>
        <v/>
      </c>
      <c r="C5" s="9"/>
      <c r="D5" s="6" t="str">
        <f>IF(A5="","",0.6*'Info Cuencas'!R5+HUS!C5/2)</f>
        <v/>
      </c>
      <c r="E5" s="6" t="str">
        <f t="shared" si="0"/>
        <v/>
      </c>
      <c r="F5" s="6" t="str">
        <f>IF(A5="","",0.208*'Info Cuencas'!B5/HUS!D5)</f>
        <v/>
      </c>
      <c r="G5" s="6"/>
    </row>
    <row r="6" spans="1:7" x14ac:dyDescent="0.3">
      <c r="A6" t="str">
        <f>IF(ISBLANK('Info Cuencas'!A6),"",'Info Cuencas'!A6)</f>
        <v/>
      </c>
      <c r="B6" s="6" t="str">
        <f>IF(A6="","",0.133*'Info Cuencas'!R6)</f>
        <v/>
      </c>
      <c r="C6" s="9"/>
      <c r="D6" s="6" t="str">
        <f>IF(A6="","",0.6*'Info Cuencas'!R6+HUS!C6/2)</f>
        <v/>
      </c>
      <c r="E6" s="6" t="str">
        <f t="shared" si="0"/>
        <v/>
      </c>
      <c r="F6" s="6" t="str">
        <f>IF(A6="","",0.208*'Info Cuencas'!B6/HUS!D6)</f>
        <v/>
      </c>
      <c r="G6" s="6"/>
    </row>
    <row r="7" spans="1:7" x14ac:dyDescent="0.3">
      <c r="A7" t="str">
        <f>IF(ISBLANK('Info Cuencas'!A7),"",'Info Cuencas'!A7)</f>
        <v/>
      </c>
      <c r="B7" s="6" t="str">
        <f>IF(A7="","",0.133*'Info Cuencas'!R7)</f>
        <v/>
      </c>
      <c r="C7" s="9"/>
      <c r="D7" s="6" t="str">
        <f>IF(A7="","",0.6*'Info Cuencas'!R7+HUS!C7/2)</f>
        <v/>
      </c>
      <c r="E7" s="6" t="str">
        <f t="shared" si="0"/>
        <v/>
      </c>
      <c r="F7" s="6" t="str">
        <f>IF(A7="","",0.208*'Info Cuencas'!B7/HUS!D7)</f>
        <v/>
      </c>
      <c r="G7" s="6"/>
    </row>
    <row r="8" spans="1:7" x14ac:dyDescent="0.3">
      <c r="A8" t="str">
        <f>IF(ISBLANK('Info Cuencas'!A8),"",'Info Cuencas'!A8)</f>
        <v/>
      </c>
      <c r="B8" s="6" t="str">
        <f>IF(A8="","",0.133*'Info Cuencas'!R8)</f>
        <v/>
      </c>
      <c r="C8" s="9"/>
      <c r="D8" s="6" t="str">
        <f>IF(A8="","",0.6*'Info Cuencas'!R8+HUS!C8/2)</f>
        <v/>
      </c>
      <c r="E8" s="6" t="str">
        <f t="shared" si="0"/>
        <v/>
      </c>
      <c r="F8" s="6" t="str">
        <f>IF(A8="","",0.208*'Info Cuencas'!B8/HUS!D8)</f>
        <v/>
      </c>
      <c r="G8" s="6"/>
    </row>
    <row r="9" spans="1:7" x14ac:dyDescent="0.3">
      <c r="A9" t="str">
        <f>IF(ISBLANK('Info Cuencas'!A9),"",'Info Cuencas'!A9)</f>
        <v/>
      </c>
      <c r="B9" s="6" t="str">
        <f>IF(A9="","",0.133*'Info Cuencas'!R9)</f>
        <v/>
      </c>
      <c r="C9" s="9"/>
      <c r="D9" s="6" t="str">
        <f>IF(A9="","",0.6*'Info Cuencas'!R9+HUS!C9/2)</f>
        <v/>
      </c>
      <c r="E9" s="6" t="str">
        <f t="shared" si="0"/>
        <v/>
      </c>
      <c r="F9" s="6" t="str">
        <f>IF(A9="","",0.208*'Info Cuencas'!B9/HUS!D9)</f>
        <v/>
      </c>
      <c r="G9" s="6"/>
    </row>
    <row r="10" spans="1:7" x14ac:dyDescent="0.3">
      <c r="A10" t="str">
        <f>IF(ISBLANK('Info Cuencas'!A10),"",'Info Cuencas'!A10)</f>
        <v/>
      </c>
      <c r="B10" s="6" t="str">
        <f>IF(A10="","",0.133*'Info Cuencas'!R10)</f>
        <v/>
      </c>
      <c r="C10" s="9"/>
      <c r="D10" s="6" t="str">
        <f>IF(A10="","",0.6*'Info Cuencas'!R10+HUS!C10/2)</f>
        <v/>
      </c>
      <c r="E10" s="6" t="str">
        <f t="shared" si="0"/>
        <v/>
      </c>
      <c r="F10" s="6" t="str">
        <f>IF(A10="","",0.208*'Info Cuencas'!B10/HUS!D10)</f>
        <v/>
      </c>
      <c r="G10" s="6"/>
    </row>
    <row r="11" spans="1:7" x14ac:dyDescent="0.3">
      <c r="A11" t="str">
        <f>IF(ISBLANK('Info Cuencas'!A11),"",'Info Cuencas'!A11)</f>
        <v/>
      </c>
      <c r="B11" s="6" t="str">
        <f>IF(A11="","",0.133*'Info Cuencas'!R11)</f>
        <v/>
      </c>
      <c r="C11" s="9"/>
      <c r="D11" s="6" t="str">
        <f>IF(A11="","",0.6*'Info Cuencas'!R11+HUS!C11/2)</f>
        <v/>
      </c>
      <c r="E11" s="6" t="str">
        <f t="shared" si="0"/>
        <v/>
      </c>
      <c r="F11" s="6" t="str">
        <f>IF(A11="","",0.208*'Info Cuencas'!B11/HUS!D11)</f>
        <v/>
      </c>
      <c r="G11" s="6"/>
    </row>
    <row r="12" spans="1:7" x14ac:dyDescent="0.3">
      <c r="A12" t="str">
        <f>IF(ISBLANK('Info Cuencas'!A12),"",'Info Cuencas'!A12)</f>
        <v/>
      </c>
      <c r="B12" t="str">
        <f>IF(A12="","",0.133*'Info Cuencas'!R12)</f>
        <v/>
      </c>
      <c r="C12" s="9"/>
      <c r="D12" s="6" t="str">
        <f>IF(A12="","",0.6*'Info Cuencas'!R12+HUS!C12/2)</f>
        <v/>
      </c>
    </row>
    <row r="13" spans="1:7" x14ac:dyDescent="0.3">
      <c r="A13" t="str">
        <f>IF(ISBLANK('Info Cuencas'!A13),"",'Info Cuencas'!A13)</f>
        <v/>
      </c>
      <c r="B13" t="str">
        <f>IF(A13="","",0.133*'Info Cuencas'!R13)</f>
        <v/>
      </c>
      <c r="C13" s="9"/>
      <c r="D13" s="6" t="str">
        <f>IF(A13="","",0.6*'Info Cuencas'!R13+HUS!C13/2)</f>
        <v/>
      </c>
    </row>
    <row r="14" spans="1:7" x14ac:dyDescent="0.3">
      <c r="A14" t="str">
        <f>IF(ISBLANK('Info Cuencas'!A14),"",'Info Cuencas'!A14)</f>
        <v/>
      </c>
      <c r="B14" t="str">
        <f>IF(A14="","",0.133*'Info Cuencas'!R14)</f>
        <v/>
      </c>
      <c r="C14" s="9"/>
      <c r="D14" s="6" t="str">
        <f>IF(A14="","",0.6*'Info Cuencas'!R14+HUS!C14/2)</f>
        <v/>
      </c>
    </row>
    <row r="15" spans="1:7" x14ac:dyDescent="0.3">
      <c r="A15" t="str">
        <f>IF(ISBLANK('Info Cuencas'!A15),"",'Info Cuencas'!A15)</f>
        <v/>
      </c>
      <c r="B15" t="str">
        <f>IF(A15="","",0.133*'Info Cuencas'!R15)</f>
        <v/>
      </c>
      <c r="D15" s="6" t="str">
        <f>IF(A15="","",0.6*'Info Cuencas'!R15+HUS!C15/2)</f>
        <v/>
      </c>
    </row>
    <row r="16" spans="1:7" x14ac:dyDescent="0.3">
      <c r="A16" t="str">
        <f>IF(ISBLANK('Info Cuencas'!A16),"",'Info Cuencas'!A16)</f>
        <v/>
      </c>
      <c r="B16" t="str">
        <f>IF(A16="","",0.133*'Info Cuencas'!R16)</f>
        <v/>
      </c>
      <c r="D16" s="6" t="str">
        <f>IF(A16="","",0.6*'Info Cuencas'!R16+HUS!C16/2)</f>
        <v/>
      </c>
    </row>
    <row r="17" spans="1:4" x14ac:dyDescent="0.3">
      <c r="A17" t="str">
        <f>IF(ISBLANK('Info Cuencas'!A17),"",'Info Cuencas'!A17)</f>
        <v/>
      </c>
      <c r="B17" t="str">
        <f>IF(A17="","",0.133*'Info Cuencas'!R17)</f>
        <v/>
      </c>
      <c r="D17" s="6" t="str">
        <f>IF(A17="","",0.6*'Info Cuencas'!R17+HUS!C17/2)</f>
        <v/>
      </c>
    </row>
    <row r="18" spans="1:4" x14ac:dyDescent="0.3">
      <c r="A18" t="str">
        <f>IF(ISBLANK('Info Cuencas'!A18),"",'Info Cuencas'!A18)</f>
        <v/>
      </c>
      <c r="B18" t="str">
        <f>IF(A18="","",0.133*'Info Cuencas'!R18)</f>
        <v/>
      </c>
      <c r="D18" s="6" t="str">
        <f>IF(A18="","",0.6*'Info Cuencas'!R18+HUS!C18/2)</f>
        <v/>
      </c>
    </row>
    <row r="19" spans="1:4" x14ac:dyDescent="0.3">
      <c r="A19" t="str">
        <f>IF(ISBLANK('Info Cuencas'!A19),"",'Info Cuencas'!A19)</f>
        <v/>
      </c>
      <c r="B19" t="str">
        <f>IF(A19="","",0.133*'Info Cuencas'!R19)</f>
        <v/>
      </c>
      <c r="D19" s="6" t="str">
        <f>IF(A19="","",0.6*'Info Cuencas'!R19+HUS!C19/2)</f>
        <v/>
      </c>
    </row>
    <row r="20" spans="1:4" x14ac:dyDescent="0.3">
      <c r="A20" t="str">
        <f>IF(ISBLANK('Info Cuencas'!A20),"",'Info Cuencas'!A20)</f>
        <v/>
      </c>
      <c r="B20" t="str">
        <f>IF(A20="","",0.133*'Info Cuencas'!R20)</f>
        <v/>
      </c>
      <c r="D20" s="6" t="str">
        <f>IF(A20="","",0.6*'Info Cuencas'!R20+HUS!C20/2)</f>
        <v/>
      </c>
    </row>
    <row r="21" spans="1:4" x14ac:dyDescent="0.3">
      <c r="A21" t="str">
        <f>IF(ISBLANK('Info Cuencas'!A21),"",'Info Cuencas'!A21)</f>
        <v/>
      </c>
      <c r="B21" t="str">
        <f>IF(A21="","",0.133*'Info Cuencas'!R21)</f>
        <v/>
      </c>
      <c r="D21" s="6" t="str">
        <f>IF(A21="","",0.6*'Info Cuencas'!R21+HUS!C21/2)</f>
        <v/>
      </c>
    </row>
    <row r="22" spans="1:4" x14ac:dyDescent="0.3">
      <c r="A22" t="str">
        <f>IF(ISBLANK('Info Cuencas'!A22),"",'Info Cuencas'!A22)</f>
        <v/>
      </c>
      <c r="B22" t="str">
        <f>IF(A22="","",0.133*'Info Cuencas'!R22)</f>
        <v/>
      </c>
      <c r="D22" s="6" t="str">
        <f>IF(A22="","",0.6*'Info Cuencas'!R22+HUS!C22/2)</f>
        <v/>
      </c>
    </row>
    <row r="23" spans="1:4" x14ac:dyDescent="0.3">
      <c r="A23" t="str">
        <f>IF(ISBLANK('Info Cuencas'!A23),"",'Info Cuencas'!A23)</f>
        <v/>
      </c>
      <c r="B23" t="str">
        <f>IF(A23="","",0.133*'Info Cuencas'!R23)</f>
        <v/>
      </c>
      <c r="D23" s="6" t="str">
        <f>IF(A23="","",0.6*'Info Cuencas'!R23+HUS!C23/2)</f>
        <v/>
      </c>
    </row>
    <row r="24" spans="1:4" x14ac:dyDescent="0.3">
      <c r="A24" t="str">
        <f>IF(ISBLANK('Info Cuencas'!A24),"",'Info Cuencas'!A24)</f>
        <v/>
      </c>
      <c r="B24" t="str">
        <f>IF(A24="","",0.133*'Info Cuencas'!R24)</f>
        <v/>
      </c>
      <c r="D24" s="6" t="str">
        <f>IF(A24="","",0.6*'Info Cuencas'!R24+HUS!C24/2)</f>
        <v/>
      </c>
    </row>
    <row r="25" spans="1:4" x14ac:dyDescent="0.3">
      <c r="A25" t="str">
        <f>IF(ISBLANK('Info Cuencas'!A25),"",'Info Cuencas'!A25)</f>
        <v/>
      </c>
      <c r="B25" t="str">
        <f>IF(A25="","",0.133*'Info Cuencas'!R25)</f>
        <v/>
      </c>
      <c r="D25" s="6" t="str">
        <f>IF(A25="","",0.6*'Info Cuencas'!R25+HUS!C25/2)</f>
        <v/>
      </c>
    </row>
    <row r="26" spans="1:4" x14ac:dyDescent="0.3">
      <c r="A26" t="str">
        <f>IF(ISBLANK('Info Cuencas'!A26),"",'Info Cuencas'!A26)</f>
        <v/>
      </c>
      <c r="B26" t="str">
        <f>IF(A26="","",0.133*'Info Cuencas'!R26)</f>
        <v/>
      </c>
      <c r="D26" s="6" t="str">
        <f>IF(A26="","",0.6*'Info Cuencas'!R26+HUS!C26/2)</f>
        <v/>
      </c>
    </row>
    <row r="27" spans="1:4" x14ac:dyDescent="0.3">
      <c r="A27" t="str">
        <f>IF(ISBLANK('Info Cuencas'!A27),"",'Info Cuencas'!A27)</f>
        <v/>
      </c>
      <c r="B27" t="str">
        <f>IF(A27="","",0.133*'Info Cuencas'!R27)</f>
        <v/>
      </c>
      <c r="D27" s="6" t="str">
        <f>IF(A27="","",0.6*'Info Cuencas'!R27+HUS!C27/2)</f>
        <v/>
      </c>
    </row>
    <row r="28" spans="1:4" x14ac:dyDescent="0.3">
      <c r="A28" t="str">
        <f>IF(ISBLANK('Info Cuencas'!A28),"",'Info Cuencas'!A28)</f>
        <v/>
      </c>
      <c r="B28" t="str">
        <f>IF(A28="","",0.133*'Info Cuencas'!R28)</f>
        <v/>
      </c>
      <c r="D28" s="6" t="str">
        <f>IF(A28="","",0.6*'Info Cuencas'!R28+HUS!C28/2)</f>
        <v/>
      </c>
    </row>
    <row r="29" spans="1:4" x14ac:dyDescent="0.3">
      <c r="A29" t="str">
        <f>IF(ISBLANK('Info Cuencas'!A29),"",'Info Cuencas'!A29)</f>
        <v/>
      </c>
      <c r="B29" t="str">
        <f>IF(A29="","",0.133*'Info Cuencas'!R29)</f>
        <v/>
      </c>
      <c r="D29" s="6" t="str">
        <f>IF(A29="","",0.6*'Info Cuencas'!R29+HUS!C29/2)</f>
        <v/>
      </c>
    </row>
    <row r="30" spans="1:4" x14ac:dyDescent="0.3">
      <c r="A30" t="str">
        <f>IF(ISBLANK('Info Cuencas'!A30),"",'Info Cuencas'!A30)</f>
        <v/>
      </c>
      <c r="B30" t="str">
        <f>IF(A30="","",0.133*'Info Cuencas'!R30)</f>
        <v/>
      </c>
      <c r="D30" s="6" t="str">
        <f>IF(A30="","",0.6*'Info Cuencas'!R30+HUS!C30/2)</f>
        <v/>
      </c>
    </row>
    <row r="31" spans="1:4" x14ac:dyDescent="0.3">
      <c r="A31" t="str">
        <f>IF(ISBLANK('Info Cuencas'!A31),"",'Info Cuencas'!A31)</f>
        <v/>
      </c>
      <c r="B31" t="str">
        <f>IF(A31="","",0.133*'Info Cuencas'!R31)</f>
        <v/>
      </c>
      <c r="D31" s="6" t="str">
        <f>IF(A31="","",0.6*'Info Cuencas'!R31+HUS!C31/2)</f>
        <v/>
      </c>
    </row>
    <row r="32" spans="1:4" x14ac:dyDescent="0.3">
      <c r="A32" t="str">
        <f>IF(ISBLANK('Info Cuencas'!A32),"",'Info Cuencas'!A32)</f>
        <v/>
      </c>
      <c r="B32" t="str">
        <f>IF(A32="","",0.133*'Info Cuencas'!R32)</f>
        <v/>
      </c>
      <c r="D32" s="6" t="str">
        <f>IF(A32="","",0.6*'Info Cuencas'!R32+HUS!C32/2)</f>
        <v/>
      </c>
    </row>
    <row r="33" spans="1:4" x14ac:dyDescent="0.3">
      <c r="A33" t="str">
        <f>IF(ISBLANK('Info Cuencas'!A33),"",'Info Cuencas'!A33)</f>
        <v/>
      </c>
      <c r="B33" t="str">
        <f>IF(A33="","",0.133*'Info Cuencas'!R33)</f>
        <v/>
      </c>
      <c r="D33" s="6" t="str">
        <f>IF(A33="","",0.6*'Info Cuencas'!R33+HUS!C33/2)</f>
        <v/>
      </c>
    </row>
    <row r="34" spans="1:4" x14ac:dyDescent="0.3">
      <c r="A34" t="str">
        <f>IF(ISBLANK('Info Cuencas'!A34),"",'Info Cuencas'!A34)</f>
        <v/>
      </c>
      <c r="B34" t="str">
        <f>IF(A34="","",0.133*'Info Cuencas'!R34)</f>
        <v/>
      </c>
      <c r="D34" s="6" t="str">
        <f>IF(A34="","",0.6*'Info Cuencas'!R34+HUS!C34/2)</f>
        <v/>
      </c>
    </row>
    <row r="35" spans="1:4" x14ac:dyDescent="0.3">
      <c r="A35" t="str">
        <f>IF(ISBLANK('Info Cuencas'!A35),"",'Info Cuencas'!A35)</f>
        <v/>
      </c>
      <c r="B35" t="str">
        <f>IF(A35="","",0.133*'Info Cuencas'!R35)</f>
        <v/>
      </c>
      <c r="D35" s="6" t="str">
        <f>IF(A35="","",0.6*'Info Cuencas'!R35+HUS!C35/2)</f>
        <v/>
      </c>
    </row>
    <row r="36" spans="1:4" x14ac:dyDescent="0.3">
      <c r="A36" t="str">
        <f>IF(ISBLANK('Info Cuencas'!A36),"",'Info Cuencas'!A36)</f>
        <v/>
      </c>
      <c r="B36" t="str">
        <f>IF(A36="","",0.133*'Info Cuencas'!R36)</f>
        <v/>
      </c>
      <c r="D36" s="6" t="str">
        <f>IF(A36="","",0.6*'Info Cuencas'!R36+HUS!C36/2)</f>
        <v/>
      </c>
    </row>
    <row r="37" spans="1:4" x14ac:dyDescent="0.3">
      <c r="A37" t="str">
        <f>IF(ISBLANK('Info Cuencas'!A37),"",'Info Cuencas'!A37)</f>
        <v/>
      </c>
      <c r="B37" t="str">
        <f>IF(A37="","",0.133*'Info Cuencas'!R37)</f>
        <v/>
      </c>
      <c r="D37" s="6" t="str">
        <f>IF(A37="","",0.6*'Info Cuencas'!R37+HUS!C37/2)</f>
        <v/>
      </c>
    </row>
    <row r="38" spans="1:4" x14ac:dyDescent="0.3">
      <c r="A38" t="str">
        <f>IF(ISBLANK('Info Cuencas'!A38),"",'Info Cuencas'!A38)</f>
        <v/>
      </c>
      <c r="B38" t="str">
        <f>IF(A38="","",0.133*'Info Cuencas'!R38)</f>
        <v/>
      </c>
      <c r="D38" s="6" t="str">
        <f>IF(A38="","",0.6*'Info Cuencas'!R38+HUS!C38/2)</f>
        <v/>
      </c>
    </row>
    <row r="39" spans="1:4" x14ac:dyDescent="0.3">
      <c r="A39" t="str">
        <f>IF(ISBLANK('Info Cuencas'!A39),"",'Info Cuencas'!A39)</f>
        <v/>
      </c>
      <c r="B39" t="str">
        <f>IF(A39="","",0.133*'Info Cuencas'!R39)</f>
        <v/>
      </c>
      <c r="D39" s="6" t="str">
        <f>IF(A39="","",0.6*'Info Cuencas'!R39+HUS!C39/2)</f>
        <v/>
      </c>
    </row>
    <row r="40" spans="1:4" x14ac:dyDescent="0.3">
      <c r="A40" t="str">
        <f>IF(ISBLANK('Info Cuencas'!A40),"",'Info Cuencas'!A40)</f>
        <v/>
      </c>
      <c r="B40" t="str">
        <f>IF(A40="","",0.133*'Info Cuencas'!R40)</f>
        <v/>
      </c>
      <c r="D40" s="6" t="str">
        <f>IF(A40="","",0.6*'Info Cuencas'!R40+HUS!C40/2)</f>
        <v/>
      </c>
    </row>
    <row r="41" spans="1:4" x14ac:dyDescent="0.3">
      <c r="A41" t="str">
        <f>IF(ISBLANK('Info Cuencas'!A41),"",'Info Cuencas'!A41)</f>
        <v/>
      </c>
      <c r="B41" t="str">
        <f>IF(A41="","",0.133*'Info Cuencas'!R41)</f>
        <v/>
      </c>
      <c r="D41" s="6" t="str">
        <f>IF(A41="","",0.6*'Info Cuencas'!R41+HUS!C41/2)</f>
        <v/>
      </c>
    </row>
    <row r="42" spans="1:4" x14ac:dyDescent="0.3">
      <c r="A42" t="str">
        <f>IF(ISBLANK('Info Cuencas'!A42),"",'Info Cuencas'!A42)</f>
        <v/>
      </c>
      <c r="B42" t="str">
        <f>IF(A42="","",0.133*'Info Cuencas'!R42)</f>
        <v/>
      </c>
      <c r="D42" s="6" t="str">
        <f>IF(A42="","",0.6*'Info Cuencas'!R42+HUS!C42/2)</f>
        <v/>
      </c>
    </row>
    <row r="43" spans="1:4" x14ac:dyDescent="0.3">
      <c r="A43" t="str">
        <f>IF(ISBLANK('Info Cuencas'!A43),"",'Info Cuencas'!A43)</f>
        <v/>
      </c>
      <c r="B43" t="str">
        <f>IF(A43="","",0.133*'Info Cuencas'!R43)</f>
        <v/>
      </c>
      <c r="D43" s="6" t="str">
        <f>IF(A43="","",0.6*'Info Cuencas'!R43+HUS!C43/2)</f>
        <v/>
      </c>
    </row>
    <row r="44" spans="1:4" x14ac:dyDescent="0.3">
      <c r="A44" t="str">
        <f>IF(ISBLANK('Info Cuencas'!A44),"",'Info Cuencas'!A44)</f>
        <v/>
      </c>
      <c r="B44" t="str">
        <f>IF(A44="","",0.133*'Info Cuencas'!R44)</f>
        <v/>
      </c>
      <c r="D44" s="6" t="str">
        <f>IF(A44="","",0.6*'Info Cuencas'!R44+HUS!C44/2)</f>
        <v/>
      </c>
    </row>
    <row r="45" spans="1:4" x14ac:dyDescent="0.3">
      <c r="A45" t="str">
        <f>IF(ISBLANK('Info Cuencas'!A45),"",'Info Cuencas'!A45)</f>
        <v/>
      </c>
      <c r="B45" t="str">
        <f>IF(A45="","",0.133*'Info Cuencas'!R45)</f>
        <v/>
      </c>
      <c r="D45" s="6" t="str">
        <f>IF(A45="","",0.6*'Info Cuencas'!R45+HUS!C45/2)</f>
        <v/>
      </c>
    </row>
    <row r="46" spans="1:4" x14ac:dyDescent="0.3">
      <c r="A46" t="str">
        <f>IF(ISBLANK('Info Cuencas'!A46),"",'Info Cuencas'!A46)</f>
        <v/>
      </c>
      <c r="B46" t="str">
        <f>IF(A46="","",0.133*'Info Cuencas'!R46)</f>
        <v/>
      </c>
      <c r="D46" s="6" t="str">
        <f>IF(A46="","",0.6*'Info Cuencas'!R46+HUS!C46/2)</f>
        <v/>
      </c>
    </row>
    <row r="47" spans="1:4" x14ac:dyDescent="0.3">
      <c r="A47" t="str">
        <f>IF(ISBLANK('Info Cuencas'!A47),"",'Info Cuencas'!A47)</f>
        <v/>
      </c>
      <c r="B47" t="str">
        <f>IF(A47="","",0.133*'Info Cuencas'!R47)</f>
        <v/>
      </c>
      <c r="D47" s="6" t="str">
        <f>IF(A47="","",0.6*'Info Cuencas'!R47+HUS!C47/2)</f>
        <v/>
      </c>
    </row>
    <row r="48" spans="1:4" x14ac:dyDescent="0.3">
      <c r="A48" t="str">
        <f>IF(ISBLANK('Info Cuencas'!A48),"",'Info Cuencas'!A48)</f>
        <v/>
      </c>
      <c r="B48" t="str">
        <f>IF(A48="","",0.133*'Info Cuencas'!R48)</f>
        <v/>
      </c>
      <c r="D48" s="6" t="str">
        <f>IF(A48="","",0.6*'Info Cuencas'!R48+HUS!C48/2)</f>
        <v/>
      </c>
    </row>
    <row r="49" spans="1:4" x14ac:dyDescent="0.3">
      <c r="A49" t="str">
        <f>IF(ISBLANK('Info Cuencas'!A49),"",'Info Cuencas'!A49)</f>
        <v/>
      </c>
      <c r="B49" t="str">
        <f>IF(A49="","",0.133*'Info Cuencas'!R49)</f>
        <v/>
      </c>
      <c r="D49" s="6" t="str">
        <f>IF(A49="","",0.6*'Info Cuencas'!R49+HUS!C49/2)</f>
        <v/>
      </c>
    </row>
    <row r="50" spans="1:4" x14ac:dyDescent="0.3">
      <c r="A50" t="str">
        <f>IF(ISBLANK('Info Cuencas'!A50),"",'Info Cuencas'!A50)</f>
        <v/>
      </c>
      <c r="B50" t="str">
        <f>IF(A50="","",0.133*'Info Cuencas'!R50)</f>
        <v/>
      </c>
      <c r="D50" s="6" t="str">
        <f>IF(A50="","",0.6*'Info Cuencas'!R50+HUS!C50/2)</f>
        <v/>
      </c>
    </row>
    <row r="51" spans="1:4" x14ac:dyDescent="0.3">
      <c r="A51" t="str">
        <f>IF(ISBLANK('Info Cuencas'!A51),"",'Info Cuencas'!A51)</f>
        <v/>
      </c>
      <c r="B51" t="str">
        <f>IF(A51="","",0.133*'Info Cuencas'!R51)</f>
        <v/>
      </c>
      <c r="D51" s="6" t="str">
        <f>IF(A51="","",0.6*'Info Cuencas'!R51+HUS!C51/2)</f>
        <v/>
      </c>
    </row>
    <row r="52" spans="1:4" x14ac:dyDescent="0.3">
      <c r="A52" t="str">
        <f>IF(ISBLANK('Info Cuencas'!A52),"",'Info Cuencas'!A52)</f>
        <v/>
      </c>
      <c r="B52" t="str">
        <f>IF(A52="","",0.133*'Info Cuencas'!R52)</f>
        <v/>
      </c>
      <c r="D52" s="6" t="str">
        <f>IF(A52="","",0.6*'Info Cuencas'!R52+HUS!C52/2)</f>
        <v/>
      </c>
    </row>
    <row r="53" spans="1:4" x14ac:dyDescent="0.3">
      <c r="A53" t="str">
        <f>IF(ISBLANK('Info Cuencas'!A53),"",'Info Cuencas'!A53)</f>
        <v/>
      </c>
      <c r="B53" t="str">
        <f>IF(A53="","",0.133*'Info Cuencas'!R53)</f>
        <v/>
      </c>
      <c r="D53" s="6" t="str">
        <f>IF(A53="","",0.6*'Info Cuencas'!R53+HUS!C53/2)</f>
        <v/>
      </c>
    </row>
    <row r="54" spans="1:4" x14ac:dyDescent="0.3">
      <c r="A54" t="str">
        <f>IF(ISBLANK('Info Cuencas'!A54),"",'Info Cuencas'!A54)</f>
        <v/>
      </c>
      <c r="B54" t="str">
        <f>IF(A54="","",0.133*'Info Cuencas'!R54)</f>
        <v/>
      </c>
      <c r="D54" s="6" t="str">
        <f>IF(A54="","",0.6*'Info Cuencas'!R54+HUS!C54/2)</f>
        <v/>
      </c>
    </row>
    <row r="55" spans="1:4" x14ac:dyDescent="0.3">
      <c r="A55" t="str">
        <f>IF(ISBLANK('Info Cuencas'!A55),"",'Info Cuencas'!A55)</f>
        <v/>
      </c>
      <c r="B55" t="str">
        <f>IF(A55="","",0.133*'Info Cuencas'!R55)</f>
        <v/>
      </c>
      <c r="D55" s="6" t="str">
        <f>IF(A55="","",0.6*'Info Cuencas'!R55+HUS!C55/2)</f>
        <v/>
      </c>
    </row>
    <row r="56" spans="1:4" x14ac:dyDescent="0.3">
      <c r="A56" t="str">
        <f>IF(ISBLANK('Info Cuencas'!A56),"",'Info Cuencas'!A56)</f>
        <v/>
      </c>
      <c r="B56" t="str">
        <f>IF(A56="","",0.133*'Info Cuencas'!R56)</f>
        <v/>
      </c>
      <c r="D56" s="6" t="str">
        <f>IF(A56="","",0.6*'Info Cuencas'!R56+HUS!C56/2)</f>
        <v/>
      </c>
    </row>
    <row r="57" spans="1:4" x14ac:dyDescent="0.3">
      <c r="A57" t="str">
        <f>IF(ISBLANK('Info Cuencas'!A57),"",'Info Cuencas'!A57)</f>
        <v/>
      </c>
      <c r="B57" t="str">
        <f>IF(A57="","",0.133*'Info Cuencas'!R57)</f>
        <v/>
      </c>
      <c r="D57" s="6" t="str">
        <f>IF(A57="","",0.6*'Info Cuencas'!R57+HUS!C57/2)</f>
        <v/>
      </c>
    </row>
    <row r="58" spans="1:4" x14ac:dyDescent="0.3">
      <c r="A58" t="str">
        <f>IF(ISBLANK('Info Cuencas'!A58),"",'Info Cuencas'!A58)</f>
        <v/>
      </c>
      <c r="B58" t="str">
        <f>IF(A58="","",0.133*'Info Cuencas'!R58)</f>
        <v/>
      </c>
      <c r="D58" s="6" t="str">
        <f>IF(A58="","",0.6*'Info Cuencas'!R58+HUS!C58/2)</f>
        <v/>
      </c>
    </row>
    <row r="59" spans="1:4" x14ac:dyDescent="0.3">
      <c r="A59" t="str">
        <f>IF(ISBLANK('Info Cuencas'!A59),"",'Info Cuencas'!A59)</f>
        <v/>
      </c>
      <c r="B59" t="str">
        <f>IF(A59="","",0.133*'Info Cuencas'!R59)</f>
        <v/>
      </c>
      <c r="D59" s="6" t="str">
        <f>IF(A59="","",0.6*'Info Cuencas'!R59+HUS!C59/2)</f>
        <v/>
      </c>
    </row>
    <row r="60" spans="1:4" x14ac:dyDescent="0.3">
      <c r="A60" t="str">
        <f>IF(ISBLANK('Info Cuencas'!A60),"",'Info Cuencas'!A60)</f>
        <v/>
      </c>
      <c r="B60" t="str">
        <f>IF(A60="","",0.133*'Info Cuencas'!R60)</f>
        <v/>
      </c>
      <c r="D60" s="6" t="str">
        <f>IF(A60="","",0.6*'Info Cuencas'!R60+HUS!C60/2)</f>
        <v/>
      </c>
    </row>
    <row r="61" spans="1:4" x14ac:dyDescent="0.3">
      <c r="A61" t="str">
        <f>IF(ISBLANK('Info Cuencas'!A61),"",'Info Cuencas'!A61)</f>
        <v/>
      </c>
      <c r="B61" t="str">
        <f>IF(A61="","",0.133*'Info Cuencas'!R61)</f>
        <v/>
      </c>
      <c r="D61" s="6" t="str">
        <f>IF(A61="","",0.6*'Info Cuencas'!R61+HUS!C61/2)</f>
        <v/>
      </c>
    </row>
    <row r="62" spans="1:4" x14ac:dyDescent="0.3">
      <c r="A62" t="str">
        <f>IF(ISBLANK('Info Cuencas'!A62),"",'Info Cuencas'!A62)</f>
        <v/>
      </c>
      <c r="B62" t="str">
        <f>IF(A62="","",0.133*'Info Cuencas'!R62)</f>
        <v/>
      </c>
      <c r="D62" s="6" t="str">
        <f>IF(A62="","",0.6*'Info Cuencas'!R62+HUS!C62/2)</f>
        <v/>
      </c>
    </row>
    <row r="63" spans="1:4" x14ac:dyDescent="0.3">
      <c r="A63" t="str">
        <f>IF(ISBLANK('Info Cuencas'!A63),"",'Info Cuencas'!A63)</f>
        <v/>
      </c>
      <c r="B63" t="str">
        <f>IF(A63="","",0.133*'Info Cuencas'!R63)</f>
        <v/>
      </c>
      <c r="D63" s="6" t="str">
        <f>IF(A63="","",0.6*'Info Cuencas'!R63+HUS!C63/2)</f>
        <v/>
      </c>
    </row>
    <row r="64" spans="1:4" x14ac:dyDescent="0.3">
      <c r="A64" t="str">
        <f>IF(ISBLANK('Info Cuencas'!A64),"",'Info Cuencas'!A64)</f>
        <v/>
      </c>
      <c r="B64" t="str">
        <f>IF(A64="","",0.133*'Info Cuencas'!R64)</f>
        <v/>
      </c>
      <c r="D64" s="6" t="str">
        <f>IF(A64="","",0.6*'Info Cuencas'!R64+HUS!C64/2)</f>
        <v/>
      </c>
    </row>
    <row r="65" spans="1:4" x14ac:dyDescent="0.3">
      <c r="A65" t="str">
        <f>IF(ISBLANK('Info Cuencas'!A65),"",'Info Cuencas'!A65)</f>
        <v/>
      </c>
      <c r="B65" t="str">
        <f>IF(A65="","",0.133*'Info Cuencas'!R65)</f>
        <v/>
      </c>
      <c r="D65" s="6" t="str">
        <f>IF(A65="","",0.6*'Info Cuencas'!R65+HUS!C65/2)</f>
        <v/>
      </c>
    </row>
    <row r="66" spans="1:4" x14ac:dyDescent="0.3">
      <c r="A66" t="str">
        <f>IF(ISBLANK('Info Cuencas'!A66),"",'Info Cuencas'!A66)</f>
        <v/>
      </c>
      <c r="B66" t="str">
        <f>IF(A66="","",0.133*'Info Cuencas'!R66)</f>
        <v/>
      </c>
      <c r="D66" s="6" t="str">
        <f>IF(A66="","",0.6*'Info Cuencas'!R66+HUS!C66/2)</f>
        <v/>
      </c>
    </row>
    <row r="67" spans="1:4" x14ac:dyDescent="0.3">
      <c r="A67" t="str">
        <f>IF(ISBLANK('Info Cuencas'!A67),"",'Info Cuencas'!A67)</f>
        <v/>
      </c>
      <c r="B67" t="str">
        <f>IF(A67="","",0.133*'Info Cuencas'!R67)</f>
        <v/>
      </c>
      <c r="D67" s="6" t="str">
        <f>IF(A67="","",0.6*'Info Cuencas'!R67+HUS!C67/2)</f>
        <v/>
      </c>
    </row>
    <row r="68" spans="1:4" x14ac:dyDescent="0.3">
      <c r="A68" t="str">
        <f>IF(ISBLANK('Info Cuencas'!A68),"",'Info Cuencas'!A68)</f>
        <v/>
      </c>
      <c r="B68" t="str">
        <f>IF(A68="","",0.133*'Info Cuencas'!R68)</f>
        <v/>
      </c>
      <c r="D68" s="6" t="str">
        <f>IF(A68="","",0.6*'Info Cuencas'!R68+HUS!C68/2)</f>
        <v/>
      </c>
    </row>
    <row r="69" spans="1:4" x14ac:dyDescent="0.3">
      <c r="A69" t="str">
        <f>IF(ISBLANK('Info Cuencas'!A69),"",'Info Cuencas'!A69)</f>
        <v/>
      </c>
      <c r="B69" t="str">
        <f>IF(A69="","",0.133*'Info Cuencas'!R69)</f>
        <v/>
      </c>
      <c r="D69" s="6" t="str">
        <f>IF(A69="","",0.6*'Info Cuencas'!R69+HUS!C69/2)</f>
        <v/>
      </c>
    </row>
    <row r="70" spans="1:4" x14ac:dyDescent="0.3">
      <c r="A70" t="str">
        <f>IF(ISBLANK('Info Cuencas'!A70),"",'Info Cuencas'!A70)</f>
        <v/>
      </c>
      <c r="B70" t="str">
        <f>IF(A70="","",0.133*'Info Cuencas'!R70)</f>
        <v/>
      </c>
      <c r="D70" s="6" t="str">
        <f>IF(A70="","",0.6*'Info Cuencas'!R70+HUS!C70/2)</f>
        <v/>
      </c>
    </row>
    <row r="71" spans="1:4" x14ac:dyDescent="0.3">
      <c r="A71" t="str">
        <f>IF(ISBLANK('Info Cuencas'!A71),"",'Info Cuencas'!A71)</f>
        <v/>
      </c>
      <c r="B71" t="str">
        <f>IF(A71="","",0.133*'Info Cuencas'!R71)</f>
        <v/>
      </c>
      <c r="D71" s="6" t="str">
        <f>IF(A71="","",0.6*'Info Cuencas'!R71+HUS!C71/2)</f>
        <v/>
      </c>
    </row>
    <row r="72" spans="1:4" x14ac:dyDescent="0.3">
      <c r="A72" t="str">
        <f>IF(ISBLANK('Info Cuencas'!A72),"",'Info Cuencas'!A72)</f>
        <v/>
      </c>
      <c r="B72" t="str">
        <f>IF(A72="","",0.133*'Info Cuencas'!R72)</f>
        <v/>
      </c>
      <c r="D72" s="6" t="str">
        <f>IF(A72="","",0.6*'Info Cuencas'!R72+HUS!C72/2)</f>
        <v/>
      </c>
    </row>
    <row r="73" spans="1:4" x14ac:dyDescent="0.3">
      <c r="A73" t="str">
        <f>IF(ISBLANK('Info Cuencas'!A73),"",'Info Cuencas'!A73)</f>
        <v/>
      </c>
      <c r="B73" t="str">
        <f>IF(A73="","",0.133*'Info Cuencas'!R73)</f>
        <v/>
      </c>
      <c r="D73" s="6" t="str">
        <f>IF(A73="","",0.6*'Info Cuencas'!R73+HUS!C73/2)</f>
        <v/>
      </c>
    </row>
    <row r="74" spans="1:4" x14ac:dyDescent="0.3">
      <c r="A74" t="str">
        <f>IF(ISBLANK('Info Cuencas'!A74),"",'Info Cuencas'!A74)</f>
        <v/>
      </c>
      <c r="B74" t="str">
        <f>IF(A74="","",0.133*'Info Cuencas'!R74)</f>
        <v/>
      </c>
      <c r="D74" s="6" t="str">
        <f>IF(A74="","",0.6*'Info Cuencas'!R74+HUS!C74/2)</f>
        <v/>
      </c>
    </row>
    <row r="75" spans="1:4" x14ac:dyDescent="0.3">
      <c r="A75" t="str">
        <f>IF(ISBLANK('Info Cuencas'!A75),"",'Info Cuencas'!A75)</f>
        <v/>
      </c>
      <c r="B75" t="str">
        <f>IF(A75="","",0.133*'Info Cuencas'!R75)</f>
        <v/>
      </c>
      <c r="D75" s="6" t="str">
        <f>IF(A75="","",0.6*'Info Cuencas'!R75+HUS!C75/2)</f>
        <v/>
      </c>
    </row>
    <row r="76" spans="1:4" x14ac:dyDescent="0.3">
      <c r="A76" t="str">
        <f>IF(ISBLANK('Info Cuencas'!A76),"",'Info Cuencas'!A76)</f>
        <v/>
      </c>
      <c r="B76" t="str">
        <f>IF(A76="","",0.133*'Info Cuencas'!R76)</f>
        <v/>
      </c>
      <c r="D76" s="6" t="str">
        <f>IF(A76="","",0.6*'Info Cuencas'!R76+HUS!C76/2)</f>
        <v/>
      </c>
    </row>
    <row r="77" spans="1:4" x14ac:dyDescent="0.3">
      <c r="A77" t="str">
        <f>IF(ISBLANK('Info Cuencas'!A77),"",'Info Cuencas'!A77)</f>
        <v/>
      </c>
      <c r="B77" t="str">
        <f>IF(A77="","",0.133*'Info Cuencas'!R77)</f>
        <v/>
      </c>
      <c r="D77" s="6" t="str">
        <f>IF(A77="","",0.6*'Info Cuencas'!R77+HUS!C77/2)</f>
        <v/>
      </c>
    </row>
    <row r="78" spans="1:4" x14ac:dyDescent="0.3">
      <c r="A78" t="str">
        <f>IF(ISBLANK('Info Cuencas'!A78),"",'Info Cuencas'!A78)</f>
        <v/>
      </c>
      <c r="B78" t="str">
        <f>IF(A78="","",0.133*'Info Cuencas'!R78)</f>
        <v/>
      </c>
      <c r="D78" s="6" t="str">
        <f>IF(A78="","",0.6*'Info Cuencas'!R78+HUS!C78/2)</f>
        <v/>
      </c>
    </row>
    <row r="79" spans="1:4" x14ac:dyDescent="0.3">
      <c r="A79" t="str">
        <f>IF(ISBLANK('Info Cuencas'!A79),"",'Info Cuencas'!A79)</f>
        <v/>
      </c>
      <c r="B79" t="str">
        <f>IF(A79="","",0.133*'Info Cuencas'!R79)</f>
        <v/>
      </c>
      <c r="D79" s="6" t="str">
        <f>IF(A79="","",0.6*'Info Cuencas'!R79+HUS!C79/2)</f>
        <v/>
      </c>
    </row>
    <row r="80" spans="1:4" x14ac:dyDescent="0.3">
      <c r="A80" t="str">
        <f>IF(ISBLANK('Info Cuencas'!A80),"",'Info Cuencas'!A80)</f>
        <v/>
      </c>
      <c r="B80" t="str">
        <f>IF(A80="","",0.133*'Info Cuencas'!R80)</f>
        <v/>
      </c>
      <c r="D80" s="6" t="str">
        <f>IF(A80="","",0.6*'Info Cuencas'!R80+HUS!C80/2)</f>
        <v/>
      </c>
    </row>
    <row r="81" spans="1:4" x14ac:dyDescent="0.3">
      <c r="A81" t="str">
        <f>IF(ISBLANK('Info Cuencas'!A81),"",'Info Cuencas'!A81)</f>
        <v/>
      </c>
      <c r="B81" t="str">
        <f>IF(A81="","",0.133*'Info Cuencas'!R81)</f>
        <v/>
      </c>
      <c r="D81" s="6" t="str">
        <f>IF(A81="","",0.6*'Info Cuencas'!R81+HUS!C81/2)</f>
        <v/>
      </c>
    </row>
    <row r="82" spans="1:4" x14ac:dyDescent="0.3">
      <c r="A82" t="str">
        <f>IF(ISBLANK('Info Cuencas'!A82),"",'Info Cuencas'!A82)</f>
        <v/>
      </c>
      <c r="B82" t="str">
        <f>IF(A82="","",0.133*'Info Cuencas'!R82)</f>
        <v/>
      </c>
      <c r="D82" s="6" t="str">
        <f>IF(A82="","",0.6*'Info Cuencas'!R82+HUS!C82/2)</f>
        <v/>
      </c>
    </row>
    <row r="83" spans="1:4" x14ac:dyDescent="0.3">
      <c r="A83" t="str">
        <f>IF(ISBLANK('Info Cuencas'!A83),"",'Info Cuencas'!A83)</f>
        <v/>
      </c>
      <c r="B83" t="str">
        <f>IF(A83="","",0.133*'Info Cuencas'!R83)</f>
        <v/>
      </c>
      <c r="D83" s="6" t="str">
        <f>IF(A83="","",0.6*'Info Cuencas'!R83+HUS!C83/2)</f>
        <v/>
      </c>
    </row>
    <row r="84" spans="1:4" x14ac:dyDescent="0.3">
      <c r="A84" t="str">
        <f>IF(ISBLANK('Info Cuencas'!A84),"",'Info Cuencas'!A84)</f>
        <v/>
      </c>
      <c r="B84" t="str">
        <f>IF(A84="","",0.133*'Info Cuencas'!R84)</f>
        <v/>
      </c>
      <c r="D84" s="6" t="str">
        <f>IF(A84="","",0.6*'Info Cuencas'!R84+HUS!C84/2)</f>
        <v/>
      </c>
    </row>
    <row r="85" spans="1:4" x14ac:dyDescent="0.3">
      <c r="A85" t="str">
        <f>IF(ISBLANK('Info Cuencas'!A85),"",'Info Cuencas'!A85)</f>
        <v/>
      </c>
      <c r="B85" t="str">
        <f>IF(A85="","",0.133*'Info Cuencas'!R85)</f>
        <v/>
      </c>
      <c r="D85" s="6" t="str">
        <f>IF(A85="","",0.6*'Info Cuencas'!R85+HUS!C85/2)</f>
        <v/>
      </c>
    </row>
    <row r="86" spans="1:4" x14ac:dyDescent="0.3">
      <c r="A86" t="str">
        <f>IF(ISBLANK('Info Cuencas'!A86),"",'Info Cuencas'!A86)</f>
        <v/>
      </c>
      <c r="B86" t="str">
        <f>IF(A86="","",0.133*'Info Cuencas'!R86)</f>
        <v/>
      </c>
      <c r="D86" s="6" t="str">
        <f>IF(A86="","",0.6*'Info Cuencas'!R86+HUS!C86/2)</f>
        <v/>
      </c>
    </row>
    <row r="87" spans="1:4" x14ac:dyDescent="0.3">
      <c r="A87" t="str">
        <f>IF(ISBLANK('Info Cuencas'!A87),"",'Info Cuencas'!A87)</f>
        <v/>
      </c>
      <c r="B87" t="str">
        <f>IF(A87="","",0.133*'Info Cuencas'!R87)</f>
        <v/>
      </c>
      <c r="D87" s="6" t="str">
        <f>IF(A87="","",0.6*'Info Cuencas'!R87+HUS!C87/2)</f>
        <v/>
      </c>
    </row>
    <row r="88" spans="1:4" x14ac:dyDescent="0.3">
      <c r="A88" t="str">
        <f>IF(ISBLANK('Info Cuencas'!A88),"",'Info Cuencas'!A88)</f>
        <v/>
      </c>
      <c r="B88" t="str">
        <f>IF(A88="","",0.133*'Info Cuencas'!R88)</f>
        <v/>
      </c>
      <c r="D88" s="6" t="str">
        <f>IF(A88="","",0.6*'Info Cuencas'!R88+HUS!C88/2)</f>
        <v/>
      </c>
    </row>
    <row r="89" spans="1:4" x14ac:dyDescent="0.3">
      <c r="A89" t="str">
        <f>IF(ISBLANK('Info Cuencas'!A89),"",'Info Cuencas'!A89)</f>
        <v/>
      </c>
      <c r="B89" t="str">
        <f>IF(A89="","",0.133*'Info Cuencas'!R89)</f>
        <v/>
      </c>
      <c r="D89" s="6" t="str">
        <f>IF(A89="","",0.6*'Info Cuencas'!R89+HUS!C89/2)</f>
        <v/>
      </c>
    </row>
    <row r="90" spans="1:4" x14ac:dyDescent="0.3">
      <c r="A90" t="str">
        <f>IF(ISBLANK('Info Cuencas'!A90),"",'Info Cuencas'!A90)</f>
        <v/>
      </c>
      <c r="B90" t="str">
        <f>IF(A90="","",0.133*'Info Cuencas'!R90)</f>
        <v/>
      </c>
      <c r="D90" s="6" t="str">
        <f>IF(A90="","",0.6*'Info Cuencas'!R90+HUS!C90/2)</f>
        <v/>
      </c>
    </row>
    <row r="91" spans="1:4" x14ac:dyDescent="0.3">
      <c r="A91" t="str">
        <f>IF(ISBLANK('Info Cuencas'!A91),"",'Info Cuencas'!A91)</f>
        <v/>
      </c>
      <c r="B91" t="str">
        <f>IF(A91="","",0.133*'Info Cuencas'!R91)</f>
        <v/>
      </c>
      <c r="D91" s="6" t="str">
        <f>IF(A91="","",0.6*'Info Cuencas'!R91+HUS!C91/2)</f>
        <v/>
      </c>
    </row>
    <row r="92" spans="1:4" x14ac:dyDescent="0.3">
      <c r="A92" t="str">
        <f>IF(ISBLANK('Info Cuencas'!A92),"",'Info Cuencas'!A92)</f>
        <v/>
      </c>
      <c r="B92" t="str">
        <f>IF(A92="","",0.133*'Info Cuencas'!R92)</f>
        <v/>
      </c>
      <c r="D92" s="6" t="str">
        <f>IF(A92="","",0.6*'Info Cuencas'!R92+HUS!C92/2)</f>
        <v/>
      </c>
    </row>
    <row r="93" spans="1:4" x14ac:dyDescent="0.3">
      <c r="A93" t="str">
        <f>IF(ISBLANK('Info Cuencas'!A93),"",'Info Cuencas'!A93)</f>
        <v/>
      </c>
      <c r="B93" t="str">
        <f>IF(A93="","",0.133*'Info Cuencas'!R93)</f>
        <v/>
      </c>
      <c r="D93" s="6" t="str">
        <f>IF(A93="","",0.6*'Info Cuencas'!R93+HUS!C93/2)</f>
        <v/>
      </c>
    </row>
    <row r="94" spans="1:4" x14ac:dyDescent="0.3">
      <c r="A94" t="str">
        <f>IF(ISBLANK('Info Cuencas'!A94),"",'Info Cuencas'!A94)</f>
        <v/>
      </c>
      <c r="B94" t="str">
        <f>IF(A94="","",0.133*'Info Cuencas'!R94)</f>
        <v/>
      </c>
      <c r="D94" s="6" t="str">
        <f>IF(A94="","",0.6*'Info Cuencas'!R94+HUS!C94/2)</f>
        <v/>
      </c>
    </row>
    <row r="95" spans="1:4" x14ac:dyDescent="0.3">
      <c r="A95" t="str">
        <f>IF(ISBLANK('Info Cuencas'!A95),"",'Info Cuencas'!A95)</f>
        <v/>
      </c>
      <c r="B95" t="str">
        <f>IF(A95="","",0.133*'Info Cuencas'!R95)</f>
        <v/>
      </c>
      <c r="D95" s="6" t="str">
        <f>IF(A95="","",0.6*'Info Cuencas'!R95+HUS!C95/2)</f>
        <v/>
      </c>
    </row>
    <row r="96" spans="1:4" x14ac:dyDescent="0.3">
      <c r="A96" t="str">
        <f>IF(ISBLANK('Info Cuencas'!A96),"",'Info Cuencas'!A96)</f>
        <v/>
      </c>
      <c r="B96" t="str">
        <f>IF(A96="","",0.133*'Info Cuencas'!R96)</f>
        <v/>
      </c>
      <c r="D96" s="6" t="str">
        <f>IF(A96="","",0.6*'Info Cuencas'!R96+HUS!C96/2)</f>
        <v/>
      </c>
    </row>
    <row r="97" spans="1:4" x14ac:dyDescent="0.3">
      <c r="A97" t="str">
        <f>IF(ISBLANK('Info Cuencas'!A97),"",'Info Cuencas'!A97)</f>
        <v/>
      </c>
      <c r="B97" t="str">
        <f>IF(A97="","",0.133*'Info Cuencas'!R97)</f>
        <v/>
      </c>
      <c r="D97" s="6" t="str">
        <f>IF(A97="","",0.6*'Info Cuencas'!R97+HUS!C97/2)</f>
        <v/>
      </c>
    </row>
    <row r="98" spans="1:4" x14ac:dyDescent="0.3">
      <c r="A98" t="str">
        <f>IF(ISBLANK('Info Cuencas'!A98),"",'Info Cuencas'!A98)</f>
        <v/>
      </c>
      <c r="B98" t="str">
        <f>IF(A98="","",0.133*'Info Cuencas'!R98)</f>
        <v/>
      </c>
      <c r="D98" s="6" t="str">
        <f>IF(A98="","",0.6*'Info Cuencas'!R98+HUS!C98/2)</f>
        <v/>
      </c>
    </row>
    <row r="99" spans="1:4" x14ac:dyDescent="0.3">
      <c r="A99" t="str">
        <f>IF(ISBLANK('Info Cuencas'!A99),"",'Info Cuencas'!A99)</f>
        <v/>
      </c>
      <c r="B99" t="str">
        <f>IF(A99="","",0.133*'Info Cuencas'!R99)</f>
        <v/>
      </c>
      <c r="D99" s="6" t="str">
        <f>IF(A99="","",0.6*'Info Cuencas'!R99+HUS!C99/2)</f>
        <v/>
      </c>
    </row>
    <row r="100" spans="1:4" x14ac:dyDescent="0.3">
      <c r="A100" t="str">
        <f>IF(ISBLANK('Info Cuencas'!A100),"",'Info Cuencas'!A100)</f>
        <v/>
      </c>
      <c r="B100" t="str">
        <f>IF(A100="","",0.133*'Info Cuencas'!R100)</f>
        <v/>
      </c>
      <c r="D100" s="6" t="str">
        <f>IF(A100="","",0.6*'Info Cuencas'!R100+HUS!C100/2)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dimension ref="A1:ALL10"/>
  <sheetViews>
    <sheetView workbookViewId="0">
      <selection activeCell="E9" sqref="E9"/>
    </sheetView>
  </sheetViews>
  <sheetFormatPr defaultRowHeight="14.4" x14ac:dyDescent="0.3"/>
  <sheetData>
    <row r="1" spans="1:1000" x14ac:dyDescent="0.3">
      <c r="A1" s="13" t="s">
        <v>29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dimension ref="A1:ALL11"/>
  <sheetViews>
    <sheetView workbookViewId="0">
      <selection activeCell="F17" sqref="F17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dimension ref="A1:F242"/>
  <sheetViews>
    <sheetView tabSelected="1" topLeftCell="A219" workbookViewId="0">
      <selection activeCell="F229" sqref="F229"/>
    </sheetView>
  </sheetViews>
  <sheetFormatPr defaultRowHeight="14.4" x14ac:dyDescent="0.3"/>
  <cols>
    <col min="1" max="1" width="9.6640625" bestFit="1" customWidth="1"/>
  </cols>
  <sheetData>
    <row r="1" spans="1:6" x14ac:dyDescent="0.3">
      <c r="A1" s="9" t="s">
        <v>30</v>
      </c>
      <c r="B1" s="9" t="s">
        <v>28</v>
      </c>
      <c r="C1" s="9" t="s">
        <v>27</v>
      </c>
      <c r="D1" s="9" t="s">
        <v>26</v>
      </c>
      <c r="E1" s="9" t="s">
        <v>25</v>
      </c>
    </row>
    <row r="2" spans="1:6" x14ac:dyDescent="0.3">
      <c r="A2" s="4">
        <v>0</v>
      </c>
      <c r="B2" s="4">
        <v>0</v>
      </c>
      <c r="C2" s="4">
        <v>0</v>
      </c>
      <c r="D2" s="4">
        <v>0</v>
      </c>
      <c r="E2" s="4">
        <v>0</v>
      </c>
      <c r="F2" s="4"/>
    </row>
    <row r="3" spans="1:6" x14ac:dyDescent="0.3">
      <c r="A3" s="4">
        <v>0.41666666666666669</v>
      </c>
      <c r="B3" s="4">
        <v>0.17399999999999999</v>
      </c>
      <c r="C3" s="4">
        <v>0.22399999999999998</v>
      </c>
      <c r="D3" s="4">
        <v>0.10100000000000001</v>
      </c>
      <c r="E3" s="4">
        <v>0.1</v>
      </c>
      <c r="F3" s="4"/>
    </row>
    <row r="4" spans="1:6" x14ac:dyDescent="0.3">
      <c r="A4" s="4">
        <v>0.83333333333333337</v>
      </c>
      <c r="B4" s="4">
        <v>0.34799999999999998</v>
      </c>
      <c r="C4" s="4">
        <v>0.432</v>
      </c>
      <c r="D4" s="4">
        <v>0.20200000000000001</v>
      </c>
      <c r="E4" s="4">
        <v>0.2</v>
      </c>
      <c r="F4" s="4"/>
    </row>
    <row r="5" spans="1:6" x14ac:dyDescent="0.3">
      <c r="A5" s="4">
        <v>1.25</v>
      </c>
      <c r="B5" s="4">
        <v>0.52200000000000002</v>
      </c>
      <c r="C5" s="4">
        <v>0.628</v>
      </c>
      <c r="D5" s="4">
        <v>0.30499999999999999</v>
      </c>
      <c r="E5" s="4">
        <v>0.3</v>
      </c>
      <c r="F5" s="4"/>
    </row>
    <row r="6" spans="1:6" x14ac:dyDescent="0.3">
      <c r="A6" s="4">
        <v>1.6666666666666667</v>
      </c>
      <c r="B6" s="4">
        <v>0.69699999999999995</v>
      </c>
      <c r="C6" s="4">
        <v>0.81600000000000006</v>
      </c>
      <c r="D6" s="4">
        <v>0.40800000000000003</v>
      </c>
      <c r="E6" s="4">
        <v>0.4</v>
      </c>
      <c r="F6" s="4"/>
    </row>
    <row r="7" spans="1:6" x14ac:dyDescent="0.3">
      <c r="A7" s="4">
        <v>2.083333333333333</v>
      </c>
      <c r="B7" s="4">
        <v>0.87100000000000011</v>
      </c>
      <c r="C7" s="4">
        <v>1</v>
      </c>
      <c r="D7" s="4">
        <v>0.51300000000000001</v>
      </c>
      <c r="E7" s="4">
        <v>0.5</v>
      </c>
      <c r="F7" s="4"/>
    </row>
    <row r="8" spans="1:6" x14ac:dyDescent="0.3">
      <c r="A8" s="4">
        <v>2.5</v>
      </c>
      <c r="B8" s="4">
        <v>1.046</v>
      </c>
      <c r="C8" s="4">
        <v>1.1839999999999999</v>
      </c>
      <c r="D8" s="4">
        <v>0.61799999999999999</v>
      </c>
      <c r="E8" s="4">
        <v>0.6</v>
      </c>
      <c r="F8" s="4"/>
    </row>
    <row r="9" spans="1:6" x14ac:dyDescent="0.3">
      <c r="A9" s="4">
        <v>2.9166666666666665</v>
      </c>
      <c r="B9" s="4">
        <v>1.22</v>
      </c>
      <c r="C9" s="4">
        <v>1.3719999999999999</v>
      </c>
      <c r="D9" s="4">
        <v>0.72500000000000009</v>
      </c>
      <c r="E9" s="4">
        <v>0.70000000000000007</v>
      </c>
      <c r="F9" s="4"/>
    </row>
    <row r="10" spans="1:6" x14ac:dyDescent="0.3">
      <c r="A10" s="4">
        <v>3.3333333333333335</v>
      </c>
      <c r="B10" s="4">
        <v>1.395</v>
      </c>
      <c r="C10" s="4">
        <v>1.5680000000000001</v>
      </c>
      <c r="D10" s="4">
        <v>0.83199999999999996</v>
      </c>
      <c r="E10" s="4">
        <v>0.8</v>
      </c>
      <c r="F10" s="4"/>
    </row>
    <row r="11" spans="1:6" x14ac:dyDescent="0.3">
      <c r="A11" s="4">
        <v>3.75</v>
      </c>
      <c r="B11" s="4">
        <v>1.5699999999999998</v>
      </c>
      <c r="C11" s="4">
        <v>1.7760000000000002</v>
      </c>
      <c r="D11" s="4">
        <v>0.94099999999999995</v>
      </c>
      <c r="E11" s="4">
        <v>0.89999999999999991</v>
      </c>
      <c r="F11" s="4"/>
    </row>
    <row r="12" spans="1:6" x14ac:dyDescent="0.3">
      <c r="A12" s="4">
        <v>4.1666666666666661</v>
      </c>
      <c r="B12" s="4">
        <v>1.7450000000000001</v>
      </c>
      <c r="C12" s="4">
        <v>2</v>
      </c>
      <c r="D12" s="4">
        <v>1.05</v>
      </c>
      <c r="E12" s="4">
        <v>1</v>
      </c>
      <c r="F12" s="4"/>
    </row>
    <row r="13" spans="1:6" x14ac:dyDescent="0.3">
      <c r="A13" s="4">
        <v>4.5833333333333339</v>
      </c>
      <c r="B13" s="4">
        <v>1.92</v>
      </c>
      <c r="C13" s="4">
        <v>2.2759999999999998</v>
      </c>
      <c r="D13" s="4">
        <v>1.161</v>
      </c>
      <c r="E13" s="4">
        <v>1.0999999999999999</v>
      </c>
      <c r="F13" s="4"/>
    </row>
    <row r="14" spans="1:6" x14ac:dyDescent="0.3">
      <c r="A14" s="4">
        <v>5</v>
      </c>
      <c r="B14" s="4">
        <v>2.0950000000000002</v>
      </c>
      <c r="C14" s="4">
        <v>2.5680000000000001</v>
      </c>
      <c r="D14" s="4">
        <v>1.272</v>
      </c>
      <c r="E14" s="4">
        <v>1.2</v>
      </c>
      <c r="F14" s="4"/>
    </row>
    <row r="15" spans="1:6" x14ac:dyDescent="0.3">
      <c r="A15" s="4">
        <v>5.416666666666667</v>
      </c>
      <c r="B15" s="4">
        <v>2.27</v>
      </c>
      <c r="C15" s="4">
        <v>2.8719999999999999</v>
      </c>
      <c r="D15" s="4">
        <v>1.385</v>
      </c>
      <c r="E15" s="4">
        <v>1.3</v>
      </c>
      <c r="F15" s="4"/>
    </row>
    <row r="16" spans="1:6" x14ac:dyDescent="0.3">
      <c r="A16" s="4">
        <v>5.833333333333333</v>
      </c>
      <c r="B16" s="4">
        <v>2.4459999999999997</v>
      </c>
      <c r="C16" s="4">
        <v>3.1840000000000002</v>
      </c>
      <c r="D16" s="4">
        <v>1.498</v>
      </c>
      <c r="E16" s="4">
        <v>1.4000000000000001</v>
      </c>
      <c r="F16" s="4"/>
    </row>
    <row r="17" spans="1:6" x14ac:dyDescent="0.3">
      <c r="A17" s="4">
        <v>6.25</v>
      </c>
      <c r="B17" s="4">
        <v>2.621</v>
      </c>
      <c r="C17" s="4">
        <v>3.5000000000000004</v>
      </c>
      <c r="D17" s="4">
        <v>1.6129999999999998</v>
      </c>
      <c r="E17" s="4">
        <v>1.5</v>
      </c>
      <c r="F17" s="4"/>
    </row>
    <row r="18" spans="1:6" x14ac:dyDescent="0.3">
      <c r="A18" s="4">
        <v>6.666666666666667</v>
      </c>
      <c r="B18" s="4">
        <v>2.7969999999999997</v>
      </c>
      <c r="C18" s="4">
        <v>3.7969999999999997</v>
      </c>
      <c r="D18" s="4">
        <v>1.728</v>
      </c>
      <c r="E18" s="4">
        <v>1.6</v>
      </c>
      <c r="F18" s="4"/>
    </row>
    <row r="19" spans="1:6" x14ac:dyDescent="0.3">
      <c r="A19" s="4">
        <v>7.083333333333333</v>
      </c>
      <c r="B19" s="4">
        <v>2.972</v>
      </c>
      <c r="C19" s="4">
        <v>4.0949999999999998</v>
      </c>
      <c r="D19" s="4">
        <v>1.8450000000000002</v>
      </c>
      <c r="E19" s="4">
        <v>1.7000000000000002</v>
      </c>
      <c r="F19" s="4"/>
    </row>
    <row r="20" spans="1:6" x14ac:dyDescent="0.3">
      <c r="A20" s="4">
        <v>7.5</v>
      </c>
      <c r="B20" s="4">
        <v>3.1480000000000001</v>
      </c>
      <c r="C20" s="4">
        <v>4.3940000000000001</v>
      </c>
      <c r="D20" s="4">
        <v>1.9619999999999997</v>
      </c>
      <c r="E20" s="4">
        <v>1.7999999999999998</v>
      </c>
      <c r="F20" s="4"/>
    </row>
    <row r="21" spans="1:6" x14ac:dyDescent="0.3">
      <c r="A21" s="4">
        <v>7.9166666666666661</v>
      </c>
      <c r="B21" s="4">
        <v>3.3239999999999998</v>
      </c>
      <c r="C21" s="4">
        <v>4.6950000000000003</v>
      </c>
      <c r="D21" s="4">
        <v>2.081</v>
      </c>
      <c r="E21" s="4">
        <v>1.9</v>
      </c>
      <c r="F21" s="4"/>
    </row>
    <row r="22" spans="1:6" x14ac:dyDescent="0.3">
      <c r="A22" s="4">
        <v>8.3333333333333321</v>
      </c>
      <c r="B22" s="4">
        <v>3.5000000000000004</v>
      </c>
      <c r="C22" s="4">
        <v>5</v>
      </c>
      <c r="D22" s="4">
        <v>2.1999999999999997</v>
      </c>
      <c r="E22" s="4">
        <v>2</v>
      </c>
      <c r="F22" s="4"/>
    </row>
    <row r="23" spans="1:6" x14ac:dyDescent="0.3">
      <c r="A23" s="4">
        <v>8.75</v>
      </c>
      <c r="B23" s="4">
        <v>3.6769999999999996</v>
      </c>
      <c r="C23" s="4">
        <v>5.3150000000000004</v>
      </c>
      <c r="D23" s="4">
        <v>2.3210000000000002</v>
      </c>
      <c r="E23" s="4">
        <v>2.101</v>
      </c>
      <c r="F23" s="4"/>
    </row>
    <row r="24" spans="1:6" x14ac:dyDescent="0.3">
      <c r="A24" s="4">
        <v>9.1666666666666679</v>
      </c>
      <c r="B24" s="4">
        <v>3.8580000000000005</v>
      </c>
      <c r="C24" s="4">
        <v>5.633</v>
      </c>
      <c r="D24" s="4">
        <v>2.4420000000000002</v>
      </c>
      <c r="E24" s="4">
        <v>2.2030000000000003</v>
      </c>
      <c r="F24" s="4"/>
    </row>
    <row r="25" spans="1:6" x14ac:dyDescent="0.3">
      <c r="A25" s="4">
        <v>9.5833333333333321</v>
      </c>
      <c r="B25" s="4">
        <v>4.0410000000000004</v>
      </c>
      <c r="C25" s="4">
        <v>5.9540000000000006</v>
      </c>
      <c r="D25" s="4">
        <v>2.5649999999999999</v>
      </c>
      <c r="E25" s="4">
        <v>2.3069999999999999</v>
      </c>
      <c r="F25" s="4"/>
    </row>
    <row r="26" spans="1:6" x14ac:dyDescent="0.3">
      <c r="A26" s="4">
        <v>10</v>
      </c>
      <c r="B26" s="4">
        <v>4.2270000000000003</v>
      </c>
      <c r="C26" s="4">
        <v>6.2759999999999998</v>
      </c>
      <c r="D26" s="4">
        <v>2.6880000000000002</v>
      </c>
      <c r="E26" s="4">
        <v>2.4119999999999999</v>
      </c>
      <c r="F26" s="4"/>
    </row>
    <row r="27" spans="1:6" x14ac:dyDescent="0.3">
      <c r="A27" s="4">
        <v>10.416666666666668</v>
      </c>
      <c r="B27" s="4">
        <v>4.4159999999999995</v>
      </c>
      <c r="C27" s="4">
        <v>6.6000000000000005</v>
      </c>
      <c r="D27" s="4">
        <v>2.8129999999999997</v>
      </c>
      <c r="E27" s="4">
        <v>2.5190000000000001</v>
      </c>
      <c r="F27" s="4"/>
    </row>
    <row r="28" spans="1:6" x14ac:dyDescent="0.3">
      <c r="A28" s="4">
        <v>10.833333333333334</v>
      </c>
      <c r="B28" s="4">
        <v>4.6080000000000005</v>
      </c>
      <c r="C28" s="4">
        <v>6.92</v>
      </c>
      <c r="D28" s="4">
        <v>2.9380000000000002</v>
      </c>
      <c r="E28" s="4">
        <v>2.6270000000000002</v>
      </c>
      <c r="F28" s="4"/>
    </row>
    <row r="29" spans="1:6" x14ac:dyDescent="0.3">
      <c r="A29" s="4">
        <v>11.25</v>
      </c>
      <c r="B29" s="4">
        <v>4.8029999999999999</v>
      </c>
      <c r="C29" s="4">
        <v>7.24</v>
      </c>
      <c r="D29" s="4">
        <v>3.0649999999999999</v>
      </c>
      <c r="E29" s="4">
        <v>2.7369999999999997</v>
      </c>
      <c r="F29" s="4"/>
    </row>
    <row r="30" spans="1:6" x14ac:dyDescent="0.3">
      <c r="A30" s="4">
        <v>11.666666666666666</v>
      </c>
      <c r="B30" s="4">
        <v>5.0009999999999994</v>
      </c>
      <c r="C30" s="4">
        <v>7.5600000000000005</v>
      </c>
      <c r="D30" s="4">
        <v>3.1919999999999997</v>
      </c>
      <c r="E30" s="4">
        <v>2.8479999999999999</v>
      </c>
      <c r="F30" s="4"/>
    </row>
    <row r="31" spans="1:6" x14ac:dyDescent="0.3">
      <c r="A31" s="4">
        <v>12.083333333333334</v>
      </c>
      <c r="B31" s="4">
        <v>5.2010000000000005</v>
      </c>
      <c r="C31" s="4">
        <v>7.88</v>
      </c>
      <c r="D31" s="4">
        <v>3.3210000000000002</v>
      </c>
      <c r="E31" s="4">
        <v>2.9610000000000003</v>
      </c>
      <c r="F31" s="4"/>
    </row>
    <row r="32" spans="1:6" x14ac:dyDescent="0.3">
      <c r="A32" s="4">
        <v>12.5</v>
      </c>
      <c r="B32" s="4">
        <v>5.4050000000000002</v>
      </c>
      <c r="C32" s="4">
        <v>8.2000000000000011</v>
      </c>
      <c r="D32" s="4">
        <v>3.45</v>
      </c>
      <c r="E32" s="4">
        <v>3.0750000000000002</v>
      </c>
      <c r="F32" s="4"/>
    </row>
    <row r="33" spans="1:6" x14ac:dyDescent="0.3">
      <c r="A33" s="4">
        <v>12.916666666666668</v>
      </c>
      <c r="B33" s="4">
        <v>5.6109999999999998</v>
      </c>
      <c r="C33" s="4">
        <v>8.5139999999999993</v>
      </c>
      <c r="D33" s="4">
        <v>3.581</v>
      </c>
      <c r="E33" s="4">
        <v>3.1910000000000003</v>
      </c>
      <c r="F33" s="4"/>
    </row>
    <row r="34" spans="1:6" x14ac:dyDescent="0.3">
      <c r="A34" s="4">
        <v>13.333333333333334</v>
      </c>
      <c r="B34" s="4">
        <v>5.8209999999999997</v>
      </c>
      <c r="C34" s="4">
        <v>8.8289999999999988</v>
      </c>
      <c r="D34" s="4">
        <v>3.7120000000000002</v>
      </c>
      <c r="E34" s="4">
        <v>3.3079999999999998</v>
      </c>
      <c r="F34" s="4"/>
    </row>
    <row r="35" spans="1:6" x14ac:dyDescent="0.3">
      <c r="A35" s="4">
        <v>13.749999999999998</v>
      </c>
      <c r="B35" s="4">
        <v>6.0330000000000004</v>
      </c>
      <c r="C35" s="4">
        <v>9.1470000000000002</v>
      </c>
      <c r="D35" s="4">
        <v>3.8449999999999998</v>
      </c>
      <c r="E35" s="4">
        <v>3.427</v>
      </c>
      <c r="F35" s="4"/>
    </row>
    <row r="36" spans="1:6" x14ac:dyDescent="0.3">
      <c r="A36" s="4">
        <v>14.166666666666666</v>
      </c>
      <c r="B36" s="4">
        <v>6.2480000000000002</v>
      </c>
      <c r="C36" s="4">
        <v>9.4710000000000001</v>
      </c>
      <c r="D36" s="4">
        <v>3.9780000000000002</v>
      </c>
      <c r="E36" s="4">
        <v>3.5470000000000002</v>
      </c>
      <c r="F36" s="4"/>
    </row>
    <row r="37" spans="1:6" x14ac:dyDescent="0.3">
      <c r="A37" s="4">
        <v>14.583333333333334</v>
      </c>
      <c r="B37" s="4">
        <v>6.4659999999999993</v>
      </c>
      <c r="C37" s="4">
        <v>9.8000000000000007</v>
      </c>
      <c r="D37" s="4">
        <v>4.1129999999999995</v>
      </c>
      <c r="E37" s="4">
        <v>3.669</v>
      </c>
      <c r="F37" s="4"/>
    </row>
    <row r="38" spans="1:6" x14ac:dyDescent="0.3">
      <c r="A38" s="4">
        <v>15</v>
      </c>
      <c r="B38" s="4">
        <v>6.6870000000000003</v>
      </c>
      <c r="C38" s="4">
        <v>10.147</v>
      </c>
      <c r="D38" s="4">
        <v>4.2479999999999993</v>
      </c>
      <c r="E38" s="4">
        <v>3.7920000000000003</v>
      </c>
      <c r="F38" s="4"/>
    </row>
    <row r="39" spans="1:6" x14ac:dyDescent="0.3">
      <c r="A39" s="4">
        <v>15.416666666666668</v>
      </c>
      <c r="B39" s="4">
        <v>6.9110000000000005</v>
      </c>
      <c r="C39" s="4">
        <v>10.502000000000001</v>
      </c>
      <c r="D39" s="4">
        <v>4.3849999999999998</v>
      </c>
      <c r="E39" s="4">
        <v>3.9170000000000003</v>
      </c>
      <c r="F39" s="4"/>
    </row>
    <row r="40" spans="1:6" x14ac:dyDescent="0.3">
      <c r="A40" s="4">
        <v>15.833333333333332</v>
      </c>
      <c r="B40" s="4">
        <v>7.1379999999999999</v>
      </c>
      <c r="C40" s="4">
        <v>10.862</v>
      </c>
      <c r="D40" s="4">
        <v>4.5220000000000002</v>
      </c>
      <c r="E40" s="4">
        <v>4.0430000000000001</v>
      </c>
      <c r="F40" s="4"/>
    </row>
    <row r="41" spans="1:6" x14ac:dyDescent="0.3">
      <c r="A41" s="4">
        <v>16.25</v>
      </c>
      <c r="B41" s="4">
        <v>7.367</v>
      </c>
      <c r="C41" s="4">
        <v>11.228999999999999</v>
      </c>
      <c r="D41" s="4">
        <v>4.6609999999999996</v>
      </c>
      <c r="E41" s="4">
        <v>4.1709999999999994</v>
      </c>
      <c r="F41" s="4"/>
    </row>
    <row r="42" spans="1:6" x14ac:dyDescent="0.3">
      <c r="A42" s="4">
        <v>16.666666666666664</v>
      </c>
      <c r="B42" s="4">
        <v>7.6</v>
      </c>
      <c r="C42" s="4">
        <v>11.600000000000001</v>
      </c>
      <c r="D42" s="4">
        <v>4.8</v>
      </c>
      <c r="E42" s="4">
        <v>4.3</v>
      </c>
      <c r="F42" s="4"/>
    </row>
    <row r="43" spans="1:6" x14ac:dyDescent="0.3">
      <c r="A43" s="4">
        <v>17.083333333333332</v>
      </c>
      <c r="B43" s="4">
        <v>7.835</v>
      </c>
      <c r="C43" s="4">
        <v>11.969000000000001</v>
      </c>
      <c r="D43" s="4">
        <v>4.9409999999999998</v>
      </c>
      <c r="E43" s="4">
        <v>4.431</v>
      </c>
      <c r="F43" s="4"/>
    </row>
    <row r="44" spans="1:6" x14ac:dyDescent="0.3">
      <c r="A44" s="4">
        <v>17.5</v>
      </c>
      <c r="B44" s="4">
        <v>8.07</v>
      </c>
      <c r="C44" s="4">
        <v>12.342000000000001</v>
      </c>
      <c r="D44" s="4">
        <v>5.0840000000000005</v>
      </c>
      <c r="E44" s="4">
        <v>4.5629999999999997</v>
      </c>
      <c r="F44" s="4"/>
    </row>
    <row r="45" spans="1:6" x14ac:dyDescent="0.3">
      <c r="A45" s="4">
        <v>17.916666666666668</v>
      </c>
      <c r="B45" s="4">
        <v>8.3070000000000004</v>
      </c>
      <c r="C45" s="4">
        <v>12.720999999999998</v>
      </c>
      <c r="D45" s="4">
        <v>5.2290000000000001</v>
      </c>
      <c r="E45" s="4">
        <v>4.6970000000000001</v>
      </c>
      <c r="F45" s="4"/>
    </row>
    <row r="46" spans="1:6" x14ac:dyDescent="0.3">
      <c r="A46" s="4">
        <v>18.333333333333336</v>
      </c>
      <c r="B46" s="4">
        <v>8.5449999999999999</v>
      </c>
      <c r="C46" s="4">
        <v>13.106999999999999</v>
      </c>
      <c r="D46" s="4">
        <v>5.3760000000000003</v>
      </c>
      <c r="E46" s="4">
        <v>4.8319999999999999</v>
      </c>
      <c r="F46" s="4"/>
    </row>
    <row r="47" spans="1:6" x14ac:dyDescent="0.3">
      <c r="A47" s="4">
        <v>18.75</v>
      </c>
      <c r="B47" s="4">
        <v>8.7840000000000007</v>
      </c>
      <c r="C47" s="4">
        <v>13.5</v>
      </c>
      <c r="D47" s="4">
        <v>5.5250000000000004</v>
      </c>
      <c r="E47" s="4">
        <v>4.9689999999999994</v>
      </c>
      <c r="F47" s="4"/>
    </row>
    <row r="48" spans="1:6" x14ac:dyDescent="0.3">
      <c r="A48" s="4">
        <v>19.166666666666664</v>
      </c>
      <c r="B48" s="4">
        <v>9.0240000000000009</v>
      </c>
      <c r="C48" s="4">
        <v>13.901</v>
      </c>
      <c r="D48" s="4">
        <v>5.6760000000000002</v>
      </c>
      <c r="E48" s="4">
        <v>5.1069999999999993</v>
      </c>
      <c r="F48" s="4"/>
    </row>
    <row r="49" spans="1:6" x14ac:dyDescent="0.3">
      <c r="A49" s="4">
        <v>19.583333333333332</v>
      </c>
      <c r="B49" s="4">
        <v>9.2649999999999988</v>
      </c>
      <c r="C49" s="4">
        <v>14.31</v>
      </c>
      <c r="D49" s="4">
        <v>5.8289999999999997</v>
      </c>
      <c r="E49" s="4">
        <v>5.2469999999999999</v>
      </c>
      <c r="F49" s="4"/>
    </row>
    <row r="50" spans="1:6" x14ac:dyDescent="0.3">
      <c r="A50" s="4">
        <v>20</v>
      </c>
      <c r="B50" s="4">
        <v>9.5069999999999997</v>
      </c>
      <c r="C50" s="4">
        <v>14.729000000000001</v>
      </c>
      <c r="D50" s="4">
        <v>5.984</v>
      </c>
      <c r="E50" s="4">
        <v>5.3879999999999999</v>
      </c>
      <c r="F50" s="4"/>
    </row>
    <row r="51" spans="1:6" x14ac:dyDescent="0.3">
      <c r="A51" s="4">
        <v>20.416666666666668</v>
      </c>
      <c r="B51" s="4">
        <v>9.7509999999999994</v>
      </c>
      <c r="C51" s="4">
        <v>15.159000000000001</v>
      </c>
      <c r="D51" s="4">
        <v>6.141</v>
      </c>
      <c r="E51" s="4">
        <v>5.5309999999999997</v>
      </c>
      <c r="F51" s="4"/>
    </row>
    <row r="52" spans="1:6" x14ac:dyDescent="0.3">
      <c r="A52" s="4">
        <v>20.833333333333336</v>
      </c>
      <c r="B52" s="4">
        <v>9.9949999999999992</v>
      </c>
      <c r="C52" s="4">
        <v>15.6</v>
      </c>
      <c r="D52" s="4">
        <v>6.3</v>
      </c>
      <c r="E52" s="4">
        <v>5.6749999999999998</v>
      </c>
      <c r="F52" s="4"/>
    </row>
    <row r="53" spans="1:6" x14ac:dyDescent="0.3">
      <c r="A53" s="4">
        <v>21.25</v>
      </c>
      <c r="B53" s="4">
        <v>10.241</v>
      </c>
      <c r="C53" s="4">
        <v>16.059000000000001</v>
      </c>
      <c r="D53" s="4">
        <v>6.4610000000000003</v>
      </c>
      <c r="E53" s="4">
        <v>5.8209999999999997</v>
      </c>
      <c r="F53" s="4"/>
    </row>
    <row r="54" spans="1:6" x14ac:dyDescent="0.3">
      <c r="A54" s="4">
        <v>21.666666666666668</v>
      </c>
      <c r="B54" s="4">
        <v>10.487</v>
      </c>
      <c r="C54" s="4">
        <v>16.53</v>
      </c>
      <c r="D54" s="4">
        <v>6.6239999999999997</v>
      </c>
      <c r="E54" s="4">
        <v>5.968</v>
      </c>
      <c r="F54" s="4"/>
    </row>
    <row r="55" spans="1:6" x14ac:dyDescent="0.3">
      <c r="A55" s="4">
        <v>22.083333333333332</v>
      </c>
      <c r="B55" s="4">
        <v>10.734999999999999</v>
      </c>
      <c r="C55" s="4">
        <v>17.011000000000003</v>
      </c>
      <c r="D55" s="4">
        <v>6.7890000000000006</v>
      </c>
      <c r="E55" s="4">
        <v>6.117</v>
      </c>
      <c r="F55" s="4"/>
    </row>
    <row r="56" spans="1:6" x14ac:dyDescent="0.3">
      <c r="A56" s="4">
        <v>22.5</v>
      </c>
      <c r="B56" s="4">
        <v>10.984</v>
      </c>
      <c r="C56" s="4">
        <v>17.501000000000001</v>
      </c>
      <c r="D56" s="4">
        <v>6.9559999999999995</v>
      </c>
      <c r="E56" s="4">
        <v>6.2670000000000003</v>
      </c>
      <c r="F56" s="4"/>
    </row>
    <row r="57" spans="1:6" x14ac:dyDescent="0.3">
      <c r="A57" s="4">
        <v>22.916666666666664</v>
      </c>
      <c r="B57" s="4">
        <v>11.234</v>
      </c>
      <c r="C57" s="4">
        <v>18</v>
      </c>
      <c r="D57" s="4">
        <v>7.1249999999999991</v>
      </c>
      <c r="E57" s="4">
        <v>6.4189999999999996</v>
      </c>
      <c r="F57" s="4"/>
    </row>
    <row r="58" spans="1:6" x14ac:dyDescent="0.3">
      <c r="A58" s="4">
        <v>23.333333333333332</v>
      </c>
      <c r="B58" s="4">
        <v>11.484999999999999</v>
      </c>
      <c r="C58" s="4">
        <v>18.494</v>
      </c>
      <c r="D58" s="4">
        <v>7.2959999999999994</v>
      </c>
      <c r="E58" s="4">
        <v>6.5720000000000001</v>
      </c>
      <c r="F58" s="4"/>
    </row>
    <row r="59" spans="1:6" x14ac:dyDescent="0.3">
      <c r="A59" s="4">
        <v>23.75</v>
      </c>
      <c r="B59" s="4">
        <v>11.737</v>
      </c>
      <c r="C59" s="4">
        <v>18.998999999999999</v>
      </c>
      <c r="D59" s="4">
        <v>7.4690000000000003</v>
      </c>
      <c r="E59" s="4">
        <v>6.7269999999999994</v>
      </c>
      <c r="F59" s="4"/>
    </row>
    <row r="60" spans="1:6" x14ac:dyDescent="0.3">
      <c r="A60" s="4">
        <v>24.166666666666668</v>
      </c>
      <c r="B60" s="4">
        <v>11.99</v>
      </c>
      <c r="C60" s="4">
        <v>19.516999999999999</v>
      </c>
      <c r="D60" s="4">
        <v>7.6439999999999992</v>
      </c>
      <c r="E60" s="4">
        <v>6.883</v>
      </c>
      <c r="F60" s="4"/>
    </row>
    <row r="61" spans="1:6" x14ac:dyDescent="0.3">
      <c r="A61" s="4">
        <v>24.583333333333336</v>
      </c>
      <c r="B61" s="4">
        <v>12.245000000000001</v>
      </c>
      <c r="C61" s="4">
        <v>20.048999999999999</v>
      </c>
      <c r="D61" s="4">
        <v>7.8209999999999997</v>
      </c>
      <c r="E61" s="4">
        <v>7.0410000000000004</v>
      </c>
      <c r="F61" s="4"/>
    </row>
    <row r="62" spans="1:6" x14ac:dyDescent="0.3">
      <c r="A62" s="4">
        <v>25</v>
      </c>
      <c r="B62" s="4">
        <v>12.5</v>
      </c>
      <c r="C62" s="4">
        <v>20.599999999999998</v>
      </c>
      <c r="D62" s="4">
        <v>8</v>
      </c>
      <c r="E62" s="4">
        <v>7.1999999999999993</v>
      </c>
      <c r="F62" s="4"/>
    </row>
    <row r="63" spans="1:6" x14ac:dyDescent="0.3">
      <c r="A63" s="4">
        <v>25.416666666666664</v>
      </c>
      <c r="B63" s="4">
        <v>12.760999999999999</v>
      </c>
      <c r="C63" s="4">
        <v>21.196000000000002</v>
      </c>
      <c r="D63" s="4">
        <v>8.1809999999999992</v>
      </c>
      <c r="E63" s="4">
        <v>7.3630000000000004</v>
      </c>
      <c r="F63" s="4"/>
    </row>
    <row r="64" spans="1:6" x14ac:dyDescent="0.3">
      <c r="A64" s="4">
        <v>25.833333333333336</v>
      </c>
      <c r="B64" s="4">
        <v>13.034000000000001</v>
      </c>
      <c r="C64" s="4">
        <v>21.808</v>
      </c>
      <c r="D64" s="4">
        <v>8.3640000000000008</v>
      </c>
      <c r="E64" s="4">
        <v>7.53</v>
      </c>
      <c r="F64" s="4"/>
    </row>
    <row r="65" spans="1:6" x14ac:dyDescent="0.3">
      <c r="A65" s="4">
        <v>26.25</v>
      </c>
      <c r="B65" s="4">
        <v>13.317</v>
      </c>
      <c r="C65" s="4">
        <v>22.431999999999999</v>
      </c>
      <c r="D65" s="4">
        <v>8.5489999999999995</v>
      </c>
      <c r="E65" s="4">
        <v>7.7030000000000003</v>
      </c>
      <c r="F65" s="4"/>
    </row>
    <row r="66" spans="1:6" x14ac:dyDescent="0.3">
      <c r="A66" s="4">
        <v>26.666666666666668</v>
      </c>
      <c r="B66" s="4">
        <v>13.61</v>
      </c>
      <c r="C66" s="4">
        <v>23.064</v>
      </c>
      <c r="D66" s="4">
        <v>8.7359999999999989</v>
      </c>
      <c r="E66" s="4">
        <v>7.88</v>
      </c>
      <c r="F66" s="4"/>
    </row>
    <row r="67" spans="1:6" x14ac:dyDescent="0.3">
      <c r="A67" s="4">
        <v>27.083333333333332</v>
      </c>
      <c r="B67" s="4">
        <v>13.914999999999999</v>
      </c>
      <c r="C67" s="4">
        <v>23.7</v>
      </c>
      <c r="D67" s="4">
        <v>8.9249999999999989</v>
      </c>
      <c r="E67" s="4">
        <v>8.0629999999999988</v>
      </c>
      <c r="F67" s="4"/>
    </row>
    <row r="68" spans="1:6" x14ac:dyDescent="0.3">
      <c r="A68" s="4">
        <v>27.499999999999996</v>
      </c>
      <c r="B68" s="4">
        <v>14.23</v>
      </c>
      <c r="C68" s="4">
        <v>24.285</v>
      </c>
      <c r="D68" s="4">
        <v>9.1159999999999997</v>
      </c>
      <c r="E68" s="4">
        <v>8.25</v>
      </c>
      <c r="F68" s="4"/>
    </row>
    <row r="69" spans="1:6" x14ac:dyDescent="0.3">
      <c r="A69" s="4">
        <v>27.916666666666668</v>
      </c>
      <c r="B69" s="4">
        <v>14.557</v>
      </c>
      <c r="C69" s="4">
        <v>24.878</v>
      </c>
      <c r="D69" s="4">
        <v>9.3090000000000011</v>
      </c>
      <c r="E69" s="4">
        <v>8.4430000000000014</v>
      </c>
      <c r="F69" s="4"/>
    </row>
    <row r="70" spans="1:6" x14ac:dyDescent="0.3">
      <c r="A70" s="4">
        <v>28.333333333333332</v>
      </c>
      <c r="B70" s="4">
        <v>14.893999999999998</v>
      </c>
      <c r="C70" s="4">
        <v>25.490000000000002</v>
      </c>
      <c r="D70" s="4">
        <v>9.5039999999999996</v>
      </c>
      <c r="E70" s="4">
        <v>8.64</v>
      </c>
      <c r="F70" s="4"/>
    </row>
    <row r="71" spans="1:6" x14ac:dyDescent="0.3">
      <c r="A71" s="4">
        <v>28.750000000000004</v>
      </c>
      <c r="B71" s="4">
        <v>15.241</v>
      </c>
      <c r="C71" s="4">
        <v>26.126999999999999</v>
      </c>
      <c r="D71" s="4">
        <v>9.7010000000000005</v>
      </c>
      <c r="E71" s="4">
        <v>8.843</v>
      </c>
      <c r="F71" s="4"/>
    </row>
    <row r="72" spans="1:6" x14ac:dyDescent="0.3">
      <c r="A72" s="4">
        <v>29.166666666666668</v>
      </c>
      <c r="B72" s="4">
        <v>15.6</v>
      </c>
      <c r="C72" s="4">
        <v>26.8</v>
      </c>
      <c r="D72" s="4">
        <v>9.9</v>
      </c>
      <c r="E72" s="4">
        <v>9.0499999999999989</v>
      </c>
      <c r="F72" s="4"/>
    </row>
    <row r="73" spans="1:6" x14ac:dyDescent="0.3">
      <c r="A73" s="4">
        <v>29.583333333333332</v>
      </c>
      <c r="B73" s="4">
        <v>15.965999999999999</v>
      </c>
      <c r="C73" s="4">
        <v>27.517000000000003</v>
      </c>
      <c r="D73" s="4">
        <v>10.101000000000001</v>
      </c>
      <c r="E73" s="4">
        <v>9.2629999999999999</v>
      </c>
      <c r="F73" s="4"/>
    </row>
    <row r="74" spans="1:6" x14ac:dyDescent="0.3">
      <c r="A74" s="4">
        <v>30</v>
      </c>
      <c r="B74" s="4">
        <v>16.334</v>
      </c>
      <c r="C74" s="4">
        <v>28.287000000000003</v>
      </c>
      <c r="D74" s="4">
        <v>10.304</v>
      </c>
      <c r="E74" s="4">
        <v>9.48</v>
      </c>
      <c r="F74" s="4"/>
    </row>
    <row r="75" spans="1:6" x14ac:dyDescent="0.3">
      <c r="A75" s="4">
        <v>30.416666666666664</v>
      </c>
      <c r="B75" s="4">
        <v>16.706</v>
      </c>
      <c r="C75" s="4">
        <v>29.117999999999999</v>
      </c>
      <c r="D75" s="4">
        <v>10.509</v>
      </c>
      <c r="E75" s="4">
        <v>9.7030000000000012</v>
      </c>
      <c r="F75" s="4"/>
    </row>
    <row r="76" spans="1:6" x14ac:dyDescent="0.3">
      <c r="A76" s="4">
        <v>30.833333333333336</v>
      </c>
      <c r="B76" s="4">
        <v>17.082000000000001</v>
      </c>
      <c r="C76" s="4">
        <v>30.019000000000002</v>
      </c>
      <c r="D76" s="4">
        <v>10.716000000000001</v>
      </c>
      <c r="E76" s="4">
        <v>9.93</v>
      </c>
      <c r="F76" s="4"/>
    </row>
    <row r="77" spans="1:6" x14ac:dyDescent="0.3">
      <c r="A77" s="4">
        <v>31.25</v>
      </c>
      <c r="B77" s="4">
        <v>17.46</v>
      </c>
      <c r="C77" s="4">
        <v>31</v>
      </c>
      <c r="D77" s="4">
        <v>10.925000000000001</v>
      </c>
      <c r="E77" s="4">
        <v>10.163</v>
      </c>
      <c r="F77" s="4"/>
    </row>
    <row r="78" spans="1:6" x14ac:dyDescent="0.3">
      <c r="A78" s="4">
        <v>31.666666666666664</v>
      </c>
      <c r="B78" s="4">
        <v>17.841999999999999</v>
      </c>
      <c r="C78" s="4">
        <v>33.141999999999996</v>
      </c>
      <c r="D78" s="4">
        <v>11.135999999999999</v>
      </c>
      <c r="E78" s="4">
        <v>10.4</v>
      </c>
      <c r="F78" s="4"/>
    </row>
    <row r="79" spans="1:6" x14ac:dyDescent="0.3">
      <c r="A79" s="4">
        <v>32.083333333333336</v>
      </c>
      <c r="B79" s="4">
        <v>18.225999999999999</v>
      </c>
      <c r="C79" s="4">
        <v>35.469000000000001</v>
      </c>
      <c r="D79" s="4">
        <v>11.349</v>
      </c>
      <c r="E79" s="4">
        <v>10.642999999999999</v>
      </c>
      <c r="F79" s="4"/>
    </row>
    <row r="80" spans="1:6" x14ac:dyDescent="0.3">
      <c r="A80" s="4">
        <v>32.5</v>
      </c>
      <c r="B80" s="4">
        <v>18.614000000000001</v>
      </c>
      <c r="C80" s="4">
        <v>37.875999999999998</v>
      </c>
      <c r="D80" s="4">
        <v>11.564</v>
      </c>
      <c r="E80" s="4">
        <v>10.89</v>
      </c>
      <c r="F80" s="4"/>
    </row>
    <row r="81" spans="1:6" x14ac:dyDescent="0.3">
      <c r="A81" s="4">
        <v>32.916666666666664</v>
      </c>
      <c r="B81" s="4">
        <v>19.006</v>
      </c>
      <c r="C81" s="4">
        <v>40.255000000000003</v>
      </c>
      <c r="D81" s="4">
        <v>11.781000000000001</v>
      </c>
      <c r="E81" s="4">
        <v>11.143000000000001</v>
      </c>
      <c r="F81" s="4"/>
    </row>
    <row r="82" spans="1:6" x14ac:dyDescent="0.3">
      <c r="A82" s="4">
        <v>33.333333333333329</v>
      </c>
      <c r="B82" s="4">
        <v>19.400000000000002</v>
      </c>
      <c r="C82" s="4">
        <v>42.5</v>
      </c>
      <c r="D82" s="4">
        <v>12</v>
      </c>
      <c r="E82" s="4">
        <v>11.4</v>
      </c>
      <c r="F82" s="4"/>
    </row>
    <row r="83" spans="1:6" x14ac:dyDescent="0.3">
      <c r="A83" s="4">
        <v>33.75</v>
      </c>
      <c r="B83" s="4">
        <v>19.817</v>
      </c>
      <c r="C83" s="4">
        <v>43.936</v>
      </c>
      <c r="D83" s="4">
        <v>12.225</v>
      </c>
      <c r="E83" s="4">
        <v>11.666</v>
      </c>
      <c r="F83" s="4"/>
    </row>
    <row r="84" spans="1:6" x14ac:dyDescent="0.3">
      <c r="A84" s="4">
        <v>34.166666666666664</v>
      </c>
      <c r="B84" s="4">
        <v>20.275000000000002</v>
      </c>
      <c r="C84" s="4">
        <v>45.167999999999999</v>
      </c>
      <c r="D84" s="4">
        <v>12.46</v>
      </c>
      <c r="E84" s="4">
        <v>11.943</v>
      </c>
      <c r="F84" s="4"/>
    </row>
    <row r="85" spans="1:6" x14ac:dyDescent="0.3">
      <c r="A85" s="4">
        <v>34.583333333333336</v>
      </c>
      <c r="B85" s="4">
        <v>20.774999999999999</v>
      </c>
      <c r="C85" s="4">
        <v>46.231999999999999</v>
      </c>
      <c r="D85" s="4">
        <v>12.705</v>
      </c>
      <c r="E85" s="4">
        <v>12.231999999999999</v>
      </c>
      <c r="F85" s="4"/>
    </row>
    <row r="86" spans="1:6" x14ac:dyDescent="0.3">
      <c r="A86" s="4">
        <v>35</v>
      </c>
      <c r="B86" s="4">
        <v>21.317</v>
      </c>
      <c r="C86" s="4">
        <v>47.164000000000001</v>
      </c>
      <c r="D86" s="4">
        <v>12.959999999999999</v>
      </c>
      <c r="E86" s="4">
        <v>12.531999999999998</v>
      </c>
      <c r="F86" s="4"/>
    </row>
    <row r="87" spans="1:6" x14ac:dyDescent="0.3">
      <c r="A87" s="4">
        <v>35.416666666666671</v>
      </c>
      <c r="B87" s="4">
        <v>21.9</v>
      </c>
      <c r="C87" s="4">
        <v>48</v>
      </c>
      <c r="D87" s="4">
        <v>13.225000000000001</v>
      </c>
      <c r="E87" s="4">
        <v>12.843999999999999</v>
      </c>
      <c r="F87" s="4"/>
    </row>
    <row r="88" spans="1:6" x14ac:dyDescent="0.3">
      <c r="A88" s="4">
        <v>35.833333333333336</v>
      </c>
      <c r="B88" s="4">
        <v>22.523</v>
      </c>
      <c r="C88" s="4">
        <v>48.903999999999996</v>
      </c>
      <c r="D88" s="4">
        <v>13.5</v>
      </c>
      <c r="E88" s="4">
        <v>13.167000000000002</v>
      </c>
      <c r="F88" s="4"/>
    </row>
    <row r="89" spans="1:6" x14ac:dyDescent="0.3">
      <c r="A89" s="4">
        <v>36.25</v>
      </c>
      <c r="B89" s="4">
        <v>23.184999999999999</v>
      </c>
      <c r="C89" s="4">
        <v>49.752000000000002</v>
      </c>
      <c r="D89" s="4">
        <v>13.785</v>
      </c>
      <c r="E89" s="4">
        <v>13.502000000000001</v>
      </c>
      <c r="F89" s="4"/>
    </row>
    <row r="90" spans="1:6" x14ac:dyDescent="0.3">
      <c r="A90" s="4">
        <v>36.666666666666671</v>
      </c>
      <c r="B90" s="4">
        <v>23.885000000000002</v>
      </c>
      <c r="C90" s="4">
        <v>50.548000000000002</v>
      </c>
      <c r="D90" s="4">
        <v>14.08</v>
      </c>
      <c r="E90" s="4">
        <v>13.847999999999999</v>
      </c>
      <c r="F90" s="4"/>
    </row>
    <row r="91" spans="1:6" x14ac:dyDescent="0.3">
      <c r="A91" s="4">
        <v>37.083333333333336</v>
      </c>
      <c r="B91" s="4">
        <v>24.623000000000001</v>
      </c>
      <c r="C91" s="4">
        <v>51.295999999999999</v>
      </c>
      <c r="D91" s="4">
        <v>14.385</v>
      </c>
      <c r="E91" s="4">
        <v>14.206</v>
      </c>
      <c r="F91" s="4"/>
    </row>
    <row r="92" spans="1:6" x14ac:dyDescent="0.3">
      <c r="A92" s="4">
        <v>37.5</v>
      </c>
      <c r="B92" s="4">
        <v>25.4</v>
      </c>
      <c r="C92" s="4">
        <v>52</v>
      </c>
      <c r="D92" s="4">
        <v>14.7</v>
      </c>
      <c r="E92" s="4">
        <v>14.574999999999999</v>
      </c>
      <c r="F92" s="4"/>
    </row>
    <row r="93" spans="1:6" x14ac:dyDescent="0.3">
      <c r="A93" s="4">
        <v>37.916666666666664</v>
      </c>
      <c r="B93" s="4">
        <v>26.233000000000001</v>
      </c>
      <c r="C93" s="4">
        <v>52.664000000000001</v>
      </c>
      <c r="D93" s="4">
        <v>15.02</v>
      </c>
      <c r="E93" s="4">
        <v>14.956</v>
      </c>
      <c r="F93" s="4"/>
    </row>
    <row r="94" spans="1:6" x14ac:dyDescent="0.3">
      <c r="A94" s="4">
        <v>38.333333333333329</v>
      </c>
      <c r="B94" s="4">
        <v>27.139000000000003</v>
      </c>
      <c r="C94" s="4">
        <v>53.291999999999994</v>
      </c>
      <c r="D94" s="4">
        <v>15.340000000000002</v>
      </c>
      <c r="E94" s="4">
        <v>15.348000000000001</v>
      </c>
      <c r="F94" s="4"/>
    </row>
    <row r="95" spans="1:6" x14ac:dyDescent="0.3">
      <c r="A95" s="4">
        <v>38.75</v>
      </c>
      <c r="B95" s="4">
        <v>28.119</v>
      </c>
      <c r="C95" s="4">
        <v>53.888000000000005</v>
      </c>
      <c r="D95" s="4">
        <v>15.659999999999998</v>
      </c>
      <c r="E95" s="4">
        <v>15.751999999999999</v>
      </c>
      <c r="F95" s="4"/>
    </row>
    <row r="96" spans="1:6" x14ac:dyDescent="0.3">
      <c r="A96" s="4">
        <v>39.166666666666664</v>
      </c>
      <c r="B96" s="4">
        <v>29.172999999999998</v>
      </c>
      <c r="C96" s="4">
        <v>54.456000000000003</v>
      </c>
      <c r="D96" s="4">
        <v>15.98</v>
      </c>
      <c r="E96" s="4">
        <v>16.167000000000002</v>
      </c>
      <c r="F96" s="4"/>
    </row>
    <row r="97" spans="1:6" x14ac:dyDescent="0.3">
      <c r="A97" s="4">
        <v>39.583333333333329</v>
      </c>
      <c r="B97" s="4">
        <v>30.3</v>
      </c>
      <c r="C97" s="4">
        <v>55.000000000000007</v>
      </c>
      <c r="D97" s="4">
        <v>16.3</v>
      </c>
      <c r="E97" s="4">
        <v>16.594000000000001</v>
      </c>
      <c r="F97" s="4"/>
    </row>
    <row r="98" spans="1:6" x14ac:dyDescent="0.3">
      <c r="A98" s="4">
        <v>40</v>
      </c>
      <c r="B98" s="4">
        <v>31.941999999999997</v>
      </c>
      <c r="C98" s="4">
        <v>55.564</v>
      </c>
      <c r="D98" s="4">
        <v>16.628</v>
      </c>
      <c r="E98" s="4">
        <v>17.032</v>
      </c>
      <c r="F98" s="4"/>
    </row>
    <row r="99" spans="1:6" x14ac:dyDescent="0.3">
      <c r="A99" s="4">
        <v>40.416666666666664</v>
      </c>
      <c r="B99" s="4">
        <v>34.542000000000002</v>
      </c>
      <c r="C99" s="4">
        <v>56.116</v>
      </c>
      <c r="D99" s="4">
        <v>16.972000000000001</v>
      </c>
      <c r="E99" s="4">
        <v>17.481999999999999</v>
      </c>
      <c r="F99" s="4"/>
    </row>
    <row r="100" spans="1:6" x14ac:dyDescent="0.3">
      <c r="A100" s="4">
        <v>40.833333333333336</v>
      </c>
      <c r="B100" s="4">
        <v>38.783999999999999</v>
      </c>
      <c r="C100" s="4">
        <v>56.655999999999992</v>
      </c>
      <c r="D100" s="4">
        <v>17.332000000000001</v>
      </c>
      <c r="E100" s="4">
        <v>17.943000000000001</v>
      </c>
      <c r="F100" s="4"/>
    </row>
    <row r="101" spans="1:6" x14ac:dyDescent="0.3">
      <c r="A101" s="4">
        <v>41.25</v>
      </c>
      <c r="B101" s="4">
        <v>46.316000000000003</v>
      </c>
      <c r="C101" s="4">
        <v>57.184000000000005</v>
      </c>
      <c r="D101" s="4">
        <v>17.707999999999998</v>
      </c>
      <c r="E101" s="4">
        <v>18.416</v>
      </c>
      <c r="F101" s="4"/>
    </row>
    <row r="102" spans="1:6" x14ac:dyDescent="0.3">
      <c r="A102" s="4">
        <v>41.666666666666671</v>
      </c>
      <c r="B102" s="4">
        <v>51.5</v>
      </c>
      <c r="C102" s="4">
        <v>57.699999999999996</v>
      </c>
      <c r="D102" s="4">
        <v>18.099999999999998</v>
      </c>
      <c r="E102" s="4">
        <v>18.899999999999999</v>
      </c>
      <c r="F102" s="4"/>
    </row>
    <row r="103" spans="1:6" x14ac:dyDescent="0.3">
      <c r="A103" s="4">
        <v>42.083333333333336</v>
      </c>
      <c r="B103" s="4">
        <v>53.22</v>
      </c>
      <c r="C103" s="4">
        <v>58.198000000000008</v>
      </c>
      <c r="D103" s="4">
        <v>18.512</v>
      </c>
      <c r="E103" s="4">
        <v>19.402000000000001</v>
      </c>
      <c r="F103" s="4"/>
    </row>
    <row r="104" spans="1:6" x14ac:dyDescent="0.3">
      <c r="A104" s="4">
        <v>42.5</v>
      </c>
      <c r="B104" s="4">
        <v>54.76</v>
      </c>
      <c r="C104" s="4">
        <v>58.684999999999995</v>
      </c>
      <c r="D104" s="4">
        <v>18.948</v>
      </c>
      <c r="E104" s="4">
        <v>19.928000000000001</v>
      </c>
      <c r="F104" s="4"/>
    </row>
    <row r="105" spans="1:6" x14ac:dyDescent="0.3">
      <c r="A105" s="4">
        <v>42.916666666666671</v>
      </c>
      <c r="B105" s="4">
        <v>56.120000000000005</v>
      </c>
      <c r="C105" s="4">
        <v>59.162999999999997</v>
      </c>
      <c r="D105" s="4">
        <v>19.408000000000001</v>
      </c>
      <c r="E105" s="4">
        <v>20.477999999999998</v>
      </c>
      <c r="F105" s="4"/>
    </row>
    <row r="106" spans="1:6" x14ac:dyDescent="0.3">
      <c r="A106" s="4">
        <v>43.333333333333336</v>
      </c>
      <c r="B106" s="4">
        <v>57.3</v>
      </c>
      <c r="C106" s="4">
        <v>59.635000000000005</v>
      </c>
      <c r="D106" s="4">
        <v>19.892000000000003</v>
      </c>
      <c r="E106" s="4">
        <v>21.052</v>
      </c>
      <c r="F106" s="4"/>
    </row>
    <row r="107" spans="1:6" x14ac:dyDescent="0.3">
      <c r="A107" s="4">
        <v>43.75</v>
      </c>
      <c r="B107" s="4">
        <v>58.3</v>
      </c>
      <c r="C107" s="4">
        <v>60.099999999999994</v>
      </c>
      <c r="D107" s="4">
        <v>20.399999999999999</v>
      </c>
      <c r="E107" s="4">
        <v>21.65</v>
      </c>
      <c r="F107" s="4"/>
    </row>
    <row r="108" spans="1:6" x14ac:dyDescent="0.3">
      <c r="A108" s="4">
        <v>44.166666666666664</v>
      </c>
      <c r="B108" s="4">
        <v>59.187999999999995</v>
      </c>
      <c r="C108" s="4">
        <v>60.575999999999993</v>
      </c>
      <c r="D108" s="4">
        <v>20.94</v>
      </c>
      <c r="E108" s="4">
        <v>22.271999999999998</v>
      </c>
      <c r="F108" s="4"/>
    </row>
    <row r="109" spans="1:6" x14ac:dyDescent="0.3">
      <c r="A109" s="4">
        <v>44.583333333333329</v>
      </c>
      <c r="B109" s="4">
        <v>60.031999999999996</v>
      </c>
      <c r="C109" s="4">
        <v>61.043999999999997</v>
      </c>
      <c r="D109" s="4">
        <v>21.52</v>
      </c>
      <c r="E109" s="4">
        <v>22.917999999999999</v>
      </c>
      <c r="F109" s="4"/>
    </row>
    <row r="110" spans="1:6" x14ac:dyDescent="0.3">
      <c r="A110" s="4">
        <v>45</v>
      </c>
      <c r="B110" s="4">
        <v>60.831999999999994</v>
      </c>
      <c r="C110" s="4">
        <v>61.504000000000005</v>
      </c>
      <c r="D110" s="4">
        <v>22.14</v>
      </c>
      <c r="E110" s="4">
        <v>23.588000000000001</v>
      </c>
      <c r="F110" s="4"/>
    </row>
    <row r="111" spans="1:6" x14ac:dyDescent="0.3">
      <c r="A111" s="4">
        <v>45.416666666666664</v>
      </c>
      <c r="B111" s="4">
        <v>61.588000000000001</v>
      </c>
      <c r="C111" s="4">
        <v>61.956000000000003</v>
      </c>
      <c r="D111" s="4">
        <v>22.8</v>
      </c>
      <c r="E111" s="4">
        <v>24.282</v>
      </c>
      <c r="F111" s="4"/>
    </row>
    <row r="112" spans="1:6" x14ac:dyDescent="0.3">
      <c r="A112" s="4">
        <v>45.833333333333329</v>
      </c>
      <c r="B112" s="4">
        <v>62.3</v>
      </c>
      <c r="C112" s="4">
        <v>62.4</v>
      </c>
      <c r="D112" s="4">
        <v>23.5</v>
      </c>
      <c r="E112" s="4">
        <v>25</v>
      </c>
      <c r="F112" s="4"/>
    </row>
    <row r="113" spans="1:6" x14ac:dyDescent="0.3">
      <c r="A113" s="4">
        <v>46.25</v>
      </c>
      <c r="B113" s="4">
        <v>62.982000000000006</v>
      </c>
      <c r="C113" s="4">
        <v>62.836000000000006</v>
      </c>
      <c r="D113" s="4">
        <v>24.268000000000001</v>
      </c>
      <c r="E113" s="4">
        <v>25.776</v>
      </c>
      <c r="F113" s="4"/>
    </row>
    <row r="114" spans="1:6" x14ac:dyDescent="0.3">
      <c r="A114" s="4">
        <v>46.666666666666664</v>
      </c>
      <c r="B114" s="4">
        <v>63.648000000000003</v>
      </c>
      <c r="C114" s="4">
        <v>63.263999999999996</v>
      </c>
      <c r="D114" s="4">
        <v>25.131999999999998</v>
      </c>
      <c r="E114" s="4">
        <v>26.644000000000002</v>
      </c>
      <c r="F114" s="4"/>
    </row>
    <row r="115" spans="1:6" x14ac:dyDescent="0.3">
      <c r="A115" s="4">
        <v>47.083333333333336</v>
      </c>
      <c r="B115" s="4">
        <v>64.298000000000002</v>
      </c>
      <c r="C115" s="4">
        <v>63.683999999999997</v>
      </c>
      <c r="D115" s="4">
        <v>26.091999999999999</v>
      </c>
      <c r="E115" s="4">
        <v>27.603999999999999</v>
      </c>
      <c r="F115" s="4"/>
    </row>
    <row r="116" spans="1:6" x14ac:dyDescent="0.3">
      <c r="A116" s="4">
        <v>47.5</v>
      </c>
      <c r="B116" s="4">
        <v>64.932000000000002</v>
      </c>
      <c r="C116" s="4">
        <v>64.096000000000004</v>
      </c>
      <c r="D116" s="4">
        <v>27.148</v>
      </c>
      <c r="E116" s="4">
        <v>28.655999999999999</v>
      </c>
      <c r="F116" s="4"/>
    </row>
    <row r="117" spans="1:6" x14ac:dyDescent="0.3">
      <c r="A117" s="4">
        <v>47.916666666666671</v>
      </c>
      <c r="B117" s="4">
        <v>65.55</v>
      </c>
      <c r="C117" s="4">
        <v>64.5</v>
      </c>
      <c r="D117" s="4">
        <v>28.299999999999997</v>
      </c>
      <c r="E117" s="4">
        <v>29.799999999999997</v>
      </c>
      <c r="F117" s="4"/>
    </row>
    <row r="118" spans="1:6" x14ac:dyDescent="0.3">
      <c r="A118" s="4">
        <v>48.333333333333336</v>
      </c>
      <c r="B118" s="4">
        <v>66.152000000000001</v>
      </c>
      <c r="C118" s="4">
        <v>64.888999999999996</v>
      </c>
      <c r="D118" s="4">
        <v>30.684000000000001</v>
      </c>
      <c r="E118" s="4">
        <v>31.430000000000003</v>
      </c>
      <c r="F118" s="4"/>
    </row>
    <row r="119" spans="1:6" x14ac:dyDescent="0.3">
      <c r="A119" s="4">
        <v>48.75</v>
      </c>
      <c r="B119" s="4">
        <v>66.738</v>
      </c>
      <c r="C119" s="4">
        <v>65.271999999999991</v>
      </c>
      <c r="D119" s="4">
        <v>35.436</v>
      </c>
      <c r="E119" s="4">
        <v>33.94</v>
      </c>
      <c r="F119" s="4"/>
    </row>
    <row r="120" spans="1:6" x14ac:dyDescent="0.3">
      <c r="A120" s="4">
        <v>49.166666666666671</v>
      </c>
      <c r="B120" s="4">
        <v>67.308000000000007</v>
      </c>
      <c r="C120" s="4">
        <v>65.65100000000001</v>
      </c>
      <c r="D120" s="4">
        <v>43.079000000000001</v>
      </c>
      <c r="E120" s="4">
        <v>37.330000000000005</v>
      </c>
      <c r="F120" s="4"/>
    </row>
    <row r="121" spans="1:6" x14ac:dyDescent="0.3">
      <c r="A121" s="4">
        <v>49.583333333333336</v>
      </c>
      <c r="B121" s="4">
        <v>67.861999999999995</v>
      </c>
      <c r="C121" s="4">
        <v>66.025999999999996</v>
      </c>
      <c r="D121" s="4">
        <v>56.786000000000001</v>
      </c>
      <c r="E121" s="4">
        <v>41.6</v>
      </c>
      <c r="F121" s="4"/>
    </row>
    <row r="122" spans="1:6" x14ac:dyDescent="0.3">
      <c r="A122" s="4">
        <v>50</v>
      </c>
      <c r="B122" s="4">
        <v>68.400000000000006</v>
      </c>
      <c r="C122" s="4">
        <v>66.400000000000006</v>
      </c>
      <c r="D122" s="4">
        <v>66.3</v>
      </c>
      <c r="E122" s="4">
        <v>50</v>
      </c>
      <c r="F122" s="4"/>
    </row>
    <row r="123" spans="1:6" x14ac:dyDescent="0.3">
      <c r="A123" s="4">
        <v>50.416666666666664</v>
      </c>
      <c r="B123" s="4">
        <v>68.924999999999997</v>
      </c>
      <c r="C123" s="4">
        <v>66.77300000000001</v>
      </c>
      <c r="D123" s="4">
        <v>68.195999999999998</v>
      </c>
      <c r="E123" s="4">
        <v>58.4</v>
      </c>
      <c r="F123" s="4"/>
    </row>
    <row r="124" spans="1:6" x14ac:dyDescent="0.3">
      <c r="A124" s="4">
        <v>50.833333333333329</v>
      </c>
      <c r="B124" s="4">
        <v>69.44</v>
      </c>
      <c r="C124" s="4">
        <v>67.147999999999996</v>
      </c>
      <c r="D124" s="4">
        <v>69.864000000000004</v>
      </c>
      <c r="E124" s="4">
        <v>62.67</v>
      </c>
      <c r="F124" s="4"/>
    </row>
    <row r="125" spans="1:6" x14ac:dyDescent="0.3">
      <c r="A125" s="4">
        <v>51.250000000000007</v>
      </c>
      <c r="B125" s="4">
        <v>69.945000000000007</v>
      </c>
      <c r="C125" s="4">
        <v>67.527000000000001</v>
      </c>
      <c r="D125" s="4">
        <v>71.304000000000002</v>
      </c>
      <c r="E125" s="4">
        <v>66.06</v>
      </c>
      <c r="F125" s="4"/>
    </row>
    <row r="126" spans="1:6" x14ac:dyDescent="0.3">
      <c r="A126" s="4">
        <v>51.666666666666671</v>
      </c>
      <c r="B126" s="4">
        <v>70.44</v>
      </c>
      <c r="C126" s="4">
        <v>67.91</v>
      </c>
      <c r="D126" s="4">
        <v>72.516000000000005</v>
      </c>
      <c r="E126" s="4">
        <v>68.569999999999993</v>
      </c>
      <c r="F126" s="4"/>
    </row>
    <row r="127" spans="1:6" x14ac:dyDescent="0.3">
      <c r="A127" s="4">
        <v>52.083333333333336</v>
      </c>
      <c r="B127" s="4">
        <v>70.925000000000011</v>
      </c>
      <c r="C127" s="4">
        <v>68.300000000000011</v>
      </c>
      <c r="D127" s="4">
        <v>73.5</v>
      </c>
      <c r="E127" s="4">
        <v>70.199999999999989</v>
      </c>
      <c r="F127" s="4"/>
    </row>
    <row r="128" spans="1:6" x14ac:dyDescent="0.3">
      <c r="A128" s="4">
        <v>52.5</v>
      </c>
      <c r="B128" s="4">
        <v>71.399999999999991</v>
      </c>
      <c r="C128" s="4">
        <v>68.664999999999992</v>
      </c>
      <c r="D128" s="4">
        <v>74.343999999999994</v>
      </c>
      <c r="E128" s="4">
        <v>71.343999999999994</v>
      </c>
      <c r="F128" s="4"/>
    </row>
    <row r="129" spans="1:6" x14ac:dyDescent="0.3">
      <c r="A129" s="4">
        <v>52.916666666666664</v>
      </c>
      <c r="B129" s="4">
        <v>71.864999999999995</v>
      </c>
      <c r="C129" s="4">
        <v>69.027000000000001</v>
      </c>
      <c r="D129" s="4">
        <v>75.135999999999996</v>
      </c>
      <c r="E129" s="4">
        <v>72.396000000000001</v>
      </c>
      <c r="F129" s="4"/>
    </row>
    <row r="130" spans="1:6" x14ac:dyDescent="0.3">
      <c r="A130" s="4">
        <v>53.333333333333336</v>
      </c>
      <c r="B130" s="4">
        <v>72.319999999999993</v>
      </c>
      <c r="C130" s="4">
        <v>69.38600000000001</v>
      </c>
      <c r="D130" s="4">
        <v>75.876000000000005</v>
      </c>
      <c r="E130" s="4">
        <v>73.355999999999995</v>
      </c>
      <c r="F130" s="4"/>
    </row>
    <row r="131" spans="1:6" x14ac:dyDescent="0.3">
      <c r="A131" s="4">
        <v>53.75</v>
      </c>
      <c r="B131" s="4">
        <v>72.765000000000001</v>
      </c>
      <c r="C131" s="4">
        <v>69.744</v>
      </c>
      <c r="D131" s="4">
        <v>76.563999999999993</v>
      </c>
      <c r="E131" s="4">
        <v>74.224000000000004</v>
      </c>
      <c r="F131" s="4"/>
    </row>
    <row r="132" spans="1:6" x14ac:dyDescent="0.3">
      <c r="A132" s="4">
        <v>54.166666666666664</v>
      </c>
      <c r="B132" s="4">
        <v>73.2</v>
      </c>
      <c r="C132" s="4">
        <v>70.099999999999994</v>
      </c>
      <c r="D132" s="4">
        <v>77.2</v>
      </c>
      <c r="E132" s="4">
        <v>75</v>
      </c>
      <c r="F132" s="4"/>
    </row>
    <row r="133" spans="1:6" x14ac:dyDescent="0.3">
      <c r="A133" s="4">
        <v>54.583333333333329</v>
      </c>
      <c r="B133" s="4">
        <v>73.625</v>
      </c>
      <c r="C133" s="4">
        <v>70.472999999999999</v>
      </c>
      <c r="D133" s="4">
        <v>77.795999999999992</v>
      </c>
      <c r="E133" s="4">
        <v>75.717999999999989</v>
      </c>
      <c r="F133" s="4"/>
    </row>
    <row r="134" spans="1:6" x14ac:dyDescent="0.3">
      <c r="A134" s="4">
        <v>54.999999999999993</v>
      </c>
      <c r="B134" s="4">
        <v>74.039999999999992</v>
      </c>
      <c r="C134" s="4">
        <v>70.837999999999994</v>
      </c>
      <c r="D134" s="4">
        <v>78.364000000000004</v>
      </c>
      <c r="E134" s="4">
        <v>76.412000000000006</v>
      </c>
      <c r="F134" s="4"/>
    </row>
    <row r="135" spans="1:6" x14ac:dyDescent="0.3">
      <c r="A135" s="4">
        <v>55.416666666666671</v>
      </c>
      <c r="B135" s="4">
        <v>74.444999999999993</v>
      </c>
      <c r="C135" s="4">
        <v>71.197999999999993</v>
      </c>
      <c r="D135" s="4">
        <v>78.903999999999996</v>
      </c>
      <c r="E135" s="4">
        <v>77.081999999999994</v>
      </c>
      <c r="F135" s="4"/>
    </row>
    <row r="136" spans="1:6" x14ac:dyDescent="0.3">
      <c r="A136" s="4">
        <v>55.833333333333336</v>
      </c>
      <c r="B136" s="4">
        <v>74.839999999999989</v>
      </c>
      <c r="C136" s="4">
        <v>71.551000000000002</v>
      </c>
      <c r="D136" s="4">
        <v>79.415999999999997</v>
      </c>
      <c r="E136" s="4">
        <v>77.727999999999994</v>
      </c>
      <c r="F136" s="4"/>
    </row>
    <row r="137" spans="1:6" x14ac:dyDescent="0.3">
      <c r="A137" s="4">
        <v>56.25</v>
      </c>
      <c r="B137" s="4">
        <v>75.224999999999994</v>
      </c>
      <c r="C137" s="4">
        <v>71.899999999999991</v>
      </c>
      <c r="D137" s="4">
        <v>79.900000000000006</v>
      </c>
      <c r="E137" s="4">
        <v>78.349999999999994</v>
      </c>
      <c r="F137" s="4"/>
    </row>
    <row r="138" spans="1:6" x14ac:dyDescent="0.3">
      <c r="A138" s="4">
        <v>56.666666666666664</v>
      </c>
      <c r="B138" s="4">
        <v>75.599999999999994</v>
      </c>
      <c r="C138" s="4">
        <v>72.245000000000005</v>
      </c>
      <c r="D138" s="4">
        <v>80.36</v>
      </c>
      <c r="E138" s="4">
        <v>78.947999999999993</v>
      </c>
      <c r="F138" s="4"/>
    </row>
    <row r="139" spans="1:6" x14ac:dyDescent="0.3">
      <c r="A139" s="4">
        <v>57.083333333333329</v>
      </c>
      <c r="B139" s="4">
        <v>75.965000000000003</v>
      </c>
      <c r="C139" s="4">
        <v>72.585999999999999</v>
      </c>
      <c r="D139" s="4">
        <v>80.800000000000011</v>
      </c>
      <c r="E139" s="4">
        <v>79.522000000000006</v>
      </c>
      <c r="F139" s="4"/>
    </row>
    <row r="140" spans="1:6" x14ac:dyDescent="0.3">
      <c r="A140" s="4">
        <v>57.500000000000007</v>
      </c>
      <c r="B140" s="4">
        <v>76.319999999999993</v>
      </c>
      <c r="C140" s="4">
        <v>72.926000000000002</v>
      </c>
      <c r="D140" s="4">
        <v>81.22</v>
      </c>
      <c r="E140" s="4">
        <v>80.072000000000003</v>
      </c>
      <c r="F140" s="4"/>
    </row>
    <row r="141" spans="1:6" x14ac:dyDescent="0.3">
      <c r="A141" s="4">
        <v>57.916666666666671</v>
      </c>
      <c r="B141" s="4">
        <v>76.665000000000006</v>
      </c>
      <c r="C141" s="4">
        <v>73.263000000000005</v>
      </c>
      <c r="D141" s="4">
        <v>81.62</v>
      </c>
      <c r="E141" s="4">
        <v>80.597999999999999</v>
      </c>
      <c r="F141" s="4"/>
    </row>
    <row r="142" spans="1:6" x14ac:dyDescent="0.3">
      <c r="A142" s="4">
        <v>58.333333333333336</v>
      </c>
      <c r="B142" s="4">
        <v>77</v>
      </c>
      <c r="C142" s="4">
        <v>73.599999999999994</v>
      </c>
      <c r="D142" s="4">
        <v>82</v>
      </c>
      <c r="E142" s="4">
        <v>81.100000000000009</v>
      </c>
      <c r="F142" s="4"/>
    </row>
    <row r="143" spans="1:6" x14ac:dyDescent="0.3">
      <c r="A143" s="4">
        <v>58.75</v>
      </c>
      <c r="B143" s="4">
        <v>77.329000000000008</v>
      </c>
      <c r="C143" s="4">
        <v>73.938999999999993</v>
      </c>
      <c r="D143" s="4">
        <v>82.367000000000004</v>
      </c>
      <c r="E143" s="4">
        <v>81.584000000000003</v>
      </c>
      <c r="F143" s="4"/>
    </row>
    <row r="144" spans="1:6" x14ac:dyDescent="0.3">
      <c r="A144" s="4">
        <v>59.166666666666664</v>
      </c>
      <c r="B144" s="4">
        <v>77.656000000000006</v>
      </c>
      <c r="C144" s="4">
        <v>74.277000000000001</v>
      </c>
      <c r="D144" s="4">
        <v>82.725999999999999</v>
      </c>
      <c r="E144" s="4">
        <v>82.057000000000002</v>
      </c>
      <c r="F144" s="4"/>
    </row>
    <row r="145" spans="1:6" x14ac:dyDescent="0.3">
      <c r="A145" s="4">
        <v>59.583333333333336</v>
      </c>
      <c r="B145" s="4">
        <v>77.980999999999995</v>
      </c>
      <c r="C145" s="4">
        <v>74.613</v>
      </c>
      <c r="D145" s="4">
        <v>83.079000000000008</v>
      </c>
      <c r="E145" s="4">
        <v>82.518000000000001</v>
      </c>
      <c r="F145" s="4"/>
    </row>
    <row r="146" spans="1:6" x14ac:dyDescent="0.3">
      <c r="A146" s="4">
        <v>60</v>
      </c>
      <c r="B146" s="4">
        <v>78.304000000000002</v>
      </c>
      <c r="C146" s="4">
        <v>74.948000000000008</v>
      </c>
      <c r="D146" s="4">
        <v>83.423999999999992</v>
      </c>
      <c r="E146" s="4">
        <v>82.968000000000004</v>
      </c>
      <c r="F146" s="4"/>
    </row>
    <row r="147" spans="1:6" x14ac:dyDescent="0.3">
      <c r="A147" s="4">
        <v>60.416666666666664</v>
      </c>
      <c r="B147" s="4">
        <v>78.625</v>
      </c>
      <c r="C147" s="4">
        <v>75.280999999999992</v>
      </c>
      <c r="D147" s="4">
        <v>83.763000000000005</v>
      </c>
      <c r="E147" s="4">
        <v>83.406000000000006</v>
      </c>
      <c r="F147" s="4"/>
    </row>
    <row r="148" spans="1:6" x14ac:dyDescent="0.3">
      <c r="A148" s="4">
        <v>60.833333333333329</v>
      </c>
      <c r="B148" s="4">
        <v>78.944000000000003</v>
      </c>
      <c r="C148" s="4">
        <v>75.613</v>
      </c>
      <c r="D148" s="4">
        <v>84.094000000000008</v>
      </c>
      <c r="E148" s="4">
        <v>83.832999999999998</v>
      </c>
      <c r="F148" s="4"/>
    </row>
    <row r="149" spans="1:6" x14ac:dyDescent="0.3">
      <c r="A149" s="4">
        <v>61.249999999999993</v>
      </c>
      <c r="B149" s="4">
        <v>79.26100000000001</v>
      </c>
      <c r="C149" s="4">
        <v>75.943000000000012</v>
      </c>
      <c r="D149" s="4">
        <v>84.418999999999997</v>
      </c>
      <c r="E149" s="4">
        <v>84.248000000000005</v>
      </c>
      <c r="F149" s="4"/>
    </row>
    <row r="150" spans="1:6" x14ac:dyDescent="0.3">
      <c r="A150" s="4">
        <v>61.666666666666671</v>
      </c>
      <c r="B150" s="4">
        <v>79.576000000000008</v>
      </c>
      <c r="C150" s="4">
        <v>76.271000000000001</v>
      </c>
      <c r="D150" s="4">
        <v>84.736000000000004</v>
      </c>
      <c r="E150" s="4">
        <v>84.652000000000001</v>
      </c>
      <c r="F150" s="4"/>
    </row>
    <row r="151" spans="1:6" x14ac:dyDescent="0.3">
      <c r="A151" s="4">
        <v>62.083333333333336</v>
      </c>
      <c r="B151" s="4">
        <v>79.888999999999996</v>
      </c>
      <c r="C151" s="4">
        <v>76.597999999999999</v>
      </c>
      <c r="D151" s="4">
        <v>85.046999999999997</v>
      </c>
      <c r="E151" s="4">
        <v>85.043999999999997</v>
      </c>
      <c r="F151" s="4"/>
    </row>
    <row r="152" spans="1:6" x14ac:dyDescent="0.3">
      <c r="A152" s="4">
        <v>62.5</v>
      </c>
      <c r="B152" s="4">
        <v>80.2</v>
      </c>
      <c r="C152" s="4">
        <v>76.924000000000007</v>
      </c>
      <c r="D152" s="4">
        <v>85.350000000000009</v>
      </c>
      <c r="E152" s="4">
        <v>85.424999999999997</v>
      </c>
      <c r="F152" s="4"/>
    </row>
    <row r="153" spans="1:6" x14ac:dyDescent="0.3">
      <c r="A153" s="4">
        <v>62.916666666666664</v>
      </c>
      <c r="B153" s="4">
        <v>80.509</v>
      </c>
      <c r="C153" s="4">
        <v>77.248000000000005</v>
      </c>
      <c r="D153" s="4">
        <v>85.646999999999991</v>
      </c>
      <c r="E153" s="4">
        <v>85.793999999999997</v>
      </c>
      <c r="F153" s="4"/>
    </row>
    <row r="154" spans="1:6" x14ac:dyDescent="0.3">
      <c r="A154" s="4">
        <v>63.333333333333329</v>
      </c>
      <c r="B154" s="4">
        <v>80.816000000000003</v>
      </c>
      <c r="C154" s="4">
        <v>77.570999999999998</v>
      </c>
      <c r="D154" s="4">
        <v>85.936000000000007</v>
      </c>
      <c r="E154" s="4">
        <v>86.152000000000001</v>
      </c>
      <c r="F154" s="4"/>
    </row>
    <row r="155" spans="1:6" x14ac:dyDescent="0.3">
      <c r="A155" s="4">
        <v>63.750000000000007</v>
      </c>
      <c r="B155" s="4">
        <v>81.120999999999995</v>
      </c>
      <c r="C155" s="4">
        <v>77.891999999999996</v>
      </c>
      <c r="D155" s="4">
        <v>86.218999999999994</v>
      </c>
      <c r="E155" s="4">
        <v>86.49799999999999</v>
      </c>
      <c r="F155" s="4"/>
    </row>
    <row r="156" spans="1:6" x14ac:dyDescent="0.3">
      <c r="A156" s="4">
        <v>64.166666666666671</v>
      </c>
      <c r="B156" s="4">
        <v>81.423999999999992</v>
      </c>
      <c r="C156" s="4">
        <v>78.210999999999999</v>
      </c>
      <c r="D156" s="4">
        <v>86.494</v>
      </c>
      <c r="E156" s="4">
        <v>86.832999999999998</v>
      </c>
      <c r="F156" s="4"/>
    </row>
    <row r="157" spans="1:6" x14ac:dyDescent="0.3">
      <c r="A157" s="4">
        <v>64.583333333333343</v>
      </c>
      <c r="B157" s="4">
        <v>81.725000000000009</v>
      </c>
      <c r="C157" s="4">
        <v>78.529000000000011</v>
      </c>
      <c r="D157" s="4">
        <v>86.763000000000005</v>
      </c>
      <c r="E157" s="4">
        <v>87.156000000000006</v>
      </c>
      <c r="F157" s="4"/>
    </row>
    <row r="158" spans="1:6" x14ac:dyDescent="0.3">
      <c r="A158" s="4">
        <v>65</v>
      </c>
      <c r="B158" s="4">
        <v>82.024000000000001</v>
      </c>
      <c r="C158" s="4">
        <v>78.844999999999999</v>
      </c>
      <c r="D158" s="4">
        <v>87.024000000000001</v>
      </c>
      <c r="E158" s="4">
        <v>87.468000000000004</v>
      </c>
      <c r="F158" s="4"/>
    </row>
    <row r="159" spans="1:6" x14ac:dyDescent="0.3">
      <c r="A159" s="4">
        <v>65.416666666666671</v>
      </c>
      <c r="B159" s="4">
        <v>82.320999999999998</v>
      </c>
      <c r="C159" s="4">
        <v>79.16</v>
      </c>
      <c r="D159" s="4">
        <v>87.278999999999996</v>
      </c>
      <c r="E159" s="4">
        <v>87.768000000000001</v>
      </c>
      <c r="F159" s="4"/>
    </row>
    <row r="160" spans="1:6" x14ac:dyDescent="0.3">
      <c r="A160" s="4">
        <v>65.833333333333329</v>
      </c>
      <c r="B160" s="4">
        <v>82.616</v>
      </c>
      <c r="C160" s="4">
        <v>79.474000000000004</v>
      </c>
      <c r="D160" s="4">
        <v>87.52600000000001</v>
      </c>
      <c r="E160" s="4">
        <v>88.057000000000002</v>
      </c>
      <c r="F160" s="4"/>
    </row>
    <row r="161" spans="1:6" x14ac:dyDescent="0.3">
      <c r="A161" s="4">
        <v>66.25</v>
      </c>
      <c r="B161" s="4">
        <v>82.909000000000006</v>
      </c>
      <c r="C161" s="4">
        <v>79.786000000000001</v>
      </c>
      <c r="D161" s="4">
        <v>87.766999999999996</v>
      </c>
      <c r="E161" s="4">
        <v>88.334000000000003</v>
      </c>
      <c r="F161" s="4"/>
    </row>
    <row r="162" spans="1:6" x14ac:dyDescent="0.3">
      <c r="A162" s="4">
        <v>66.666666666666657</v>
      </c>
      <c r="B162" s="4">
        <v>83.2</v>
      </c>
      <c r="C162" s="4">
        <v>80.096000000000004</v>
      </c>
      <c r="D162" s="4">
        <v>88</v>
      </c>
      <c r="E162" s="4">
        <v>88.6</v>
      </c>
      <c r="F162" s="4"/>
    </row>
    <row r="163" spans="1:6" x14ac:dyDescent="0.3">
      <c r="A163" s="4">
        <v>67.083333333333343</v>
      </c>
      <c r="B163" s="4">
        <v>83.489000000000004</v>
      </c>
      <c r="C163" s="4">
        <v>80.405000000000001</v>
      </c>
      <c r="D163" s="4">
        <v>88.228999999999999</v>
      </c>
      <c r="E163" s="4">
        <v>88.858000000000004</v>
      </c>
      <c r="F163" s="4"/>
    </row>
    <row r="164" spans="1:6" x14ac:dyDescent="0.3">
      <c r="A164" s="4">
        <v>67.5</v>
      </c>
      <c r="B164" s="4">
        <v>83.775999999999996</v>
      </c>
      <c r="C164" s="4">
        <v>80.711999999999989</v>
      </c>
      <c r="D164" s="4">
        <v>88.454999999999998</v>
      </c>
      <c r="E164" s="4">
        <v>89.11</v>
      </c>
      <c r="F164" s="4"/>
    </row>
    <row r="165" spans="1:6" x14ac:dyDescent="0.3">
      <c r="A165" s="4">
        <v>67.916666666666671</v>
      </c>
      <c r="B165" s="4">
        <v>84.060999999999993</v>
      </c>
      <c r="C165" s="4">
        <v>81.018000000000001</v>
      </c>
      <c r="D165" s="4">
        <v>88.679000000000002</v>
      </c>
      <c r="E165" s="4">
        <v>89.358000000000004</v>
      </c>
      <c r="F165" s="4"/>
    </row>
    <row r="166" spans="1:6" x14ac:dyDescent="0.3">
      <c r="A166" s="4">
        <v>68.333333333333329</v>
      </c>
      <c r="B166" s="4">
        <v>84.343999999999994</v>
      </c>
      <c r="C166" s="4">
        <v>81.322000000000003</v>
      </c>
      <c r="D166" s="4">
        <v>88.9</v>
      </c>
      <c r="E166" s="4">
        <v>89.600000000000009</v>
      </c>
      <c r="F166" s="4"/>
    </row>
    <row r="167" spans="1:6" x14ac:dyDescent="0.3">
      <c r="A167" s="4">
        <v>68.75</v>
      </c>
      <c r="B167" s="4">
        <v>84.625</v>
      </c>
      <c r="C167" s="4">
        <v>81.625</v>
      </c>
      <c r="D167" s="4">
        <v>89.119</v>
      </c>
      <c r="E167" s="4">
        <v>89.837999999999994</v>
      </c>
      <c r="F167" s="4"/>
    </row>
    <row r="168" spans="1:6" x14ac:dyDescent="0.3">
      <c r="A168" s="4">
        <v>69.166666666666671</v>
      </c>
      <c r="B168" s="4">
        <v>84.903999999999996</v>
      </c>
      <c r="C168" s="4">
        <v>81.926000000000002</v>
      </c>
      <c r="D168" s="4">
        <v>89.334999999999994</v>
      </c>
      <c r="E168" s="4">
        <v>90.07</v>
      </c>
      <c r="F168" s="4"/>
    </row>
    <row r="169" spans="1:6" x14ac:dyDescent="0.3">
      <c r="A169" s="4">
        <v>69.583333333333329</v>
      </c>
      <c r="B169" s="4">
        <v>85.180999999999997</v>
      </c>
      <c r="C169" s="4">
        <v>82.225999999999999</v>
      </c>
      <c r="D169" s="4">
        <v>89.549000000000007</v>
      </c>
      <c r="E169" s="4">
        <v>90.298000000000002</v>
      </c>
      <c r="F169" s="4"/>
    </row>
    <row r="170" spans="1:6" x14ac:dyDescent="0.3">
      <c r="A170" s="4">
        <v>70</v>
      </c>
      <c r="B170" s="4">
        <v>85.456000000000003</v>
      </c>
      <c r="C170" s="4">
        <v>82.524000000000001</v>
      </c>
      <c r="D170" s="4">
        <v>89.759999999999991</v>
      </c>
      <c r="E170" s="4">
        <v>90.52</v>
      </c>
      <c r="F170" s="4"/>
    </row>
    <row r="171" spans="1:6" x14ac:dyDescent="0.3">
      <c r="A171" s="4">
        <v>70.416666666666657</v>
      </c>
      <c r="B171" s="4">
        <v>85.728999999999999</v>
      </c>
      <c r="C171" s="4">
        <v>82.820999999999998</v>
      </c>
      <c r="D171" s="4">
        <v>89.968999999999994</v>
      </c>
      <c r="E171" s="4">
        <v>90.738</v>
      </c>
      <c r="F171" s="4"/>
    </row>
    <row r="172" spans="1:6" x14ac:dyDescent="0.3">
      <c r="A172" s="4">
        <v>70.833333333333343</v>
      </c>
      <c r="B172" s="4">
        <v>86</v>
      </c>
      <c r="C172" s="4">
        <v>83.116</v>
      </c>
      <c r="D172" s="4">
        <v>90.175000000000011</v>
      </c>
      <c r="E172" s="4">
        <v>90.95</v>
      </c>
      <c r="F172" s="4"/>
    </row>
    <row r="173" spans="1:6" x14ac:dyDescent="0.3">
      <c r="A173" s="4">
        <v>71.25</v>
      </c>
      <c r="B173" s="4">
        <v>86.268999999999991</v>
      </c>
      <c r="C173" s="4">
        <v>83.41</v>
      </c>
      <c r="D173" s="4">
        <v>90.379000000000005</v>
      </c>
      <c r="E173" s="4">
        <v>91.158000000000001</v>
      </c>
      <c r="F173" s="4"/>
    </row>
    <row r="174" spans="1:6" x14ac:dyDescent="0.3">
      <c r="A174" s="4">
        <v>71.666666666666671</v>
      </c>
      <c r="B174" s="4">
        <v>86.536000000000001</v>
      </c>
      <c r="C174" s="4">
        <v>83.701999999999998</v>
      </c>
      <c r="D174" s="4">
        <v>90.58</v>
      </c>
      <c r="E174" s="4">
        <v>91.36</v>
      </c>
      <c r="F174" s="4"/>
    </row>
    <row r="175" spans="1:6" x14ac:dyDescent="0.3">
      <c r="A175" s="4">
        <v>72.083333333333329</v>
      </c>
      <c r="B175" s="4">
        <v>86.800999999999988</v>
      </c>
      <c r="C175" s="4">
        <v>83.992000000000004</v>
      </c>
      <c r="D175" s="4">
        <v>90.778999999999996</v>
      </c>
      <c r="E175" s="4">
        <v>91.557999999999993</v>
      </c>
      <c r="F175" s="4"/>
    </row>
    <row r="176" spans="1:6" x14ac:dyDescent="0.3">
      <c r="A176" s="4">
        <v>72.5</v>
      </c>
      <c r="B176" s="4">
        <v>87.063999999999993</v>
      </c>
      <c r="C176" s="4">
        <v>84.280999999999992</v>
      </c>
      <c r="D176" s="4">
        <v>90.974999999999994</v>
      </c>
      <c r="E176" s="4">
        <v>91.75</v>
      </c>
      <c r="F176" s="4"/>
    </row>
    <row r="177" spans="1:6" x14ac:dyDescent="0.3">
      <c r="A177" s="4">
        <v>72.916666666666657</v>
      </c>
      <c r="B177" s="4">
        <v>87.325000000000003</v>
      </c>
      <c r="C177" s="4">
        <v>84.569000000000003</v>
      </c>
      <c r="D177" s="4">
        <v>91.168999999999997</v>
      </c>
      <c r="E177" s="4">
        <v>91.938000000000002</v>
      </c>
      <c r="F177" s="4"/>
    </row>
    <row r="178" spans="1:6" x14ac:dyDescent="0.3">
      <c r="A178" s="4">
        <v>73.333333333333343</v>
      </c>
      <c r="B178" s="4">
        <v>87.583999999999989</v>
      </c>
      <c r="C178" s="4">
        <v>84.855000000000004</v>
      </c>
      <c r="D178" s="4">
        <v>91.36</v>
      </c>
      <c r="E178" s="4">
        <v>92.12</v>
      </c>
      <c r="F178" s="4"/>
    </row>
    <row r="179" spans="1:6" x14ac:dyDescent="0.3">
      <c r="A179" s="4">
        <v>73.75</v>
      </c>
      <c r="B179" s="4">
        <v>87.841000000000008</v>
      </c>
      <c r="C179" s="4">
        <v>85.14</v>
      </c>
      <c r="D179" s="4">
        <v>91.549000000000007</v>
      </c>
      <c r="E179" s="4">
        <v>92.298000000000002</v>
      </c>
      <c r="F179" s="4"/>
    </row>
    <row r="180" spans="1:6" x14ac:dyDescent="0.3">
      <c r="A180" s="4">
        <v>74.166666666666671</v>
      </c>
      <c r="B180" s="4">
        <v>88.096000000000004</v>
      </c>
      <c r="C180" s="4">
        <v>85.423000000000002</v>
      </c>
      <c r="D180" s="4">
        <v>91.734999999999999</v>
      </c>
      <c r="E180" s="4">
        <v>92.47</v>
      </c>
      <c r="F180" s="4"/>
    </row>
    <row r="181" spans="1:6" x14ac:dyDescent="0.3">
      <c r="A181" s="4">
        <v>74.583333333333329</v>
      </c>
      <c r="B181" s="4">
        <v>88.349000000000004</v>
      </c>
      <c r="C181" s="4">
        <v>85.704000000000008</v>
      </c>
      <c r="D181" s="4">
        <v>91.918999999999997</v>
      </c>
      <c r="E181" s="4">
        <v>92.638000000000005</v>
      </c>
      <c r="F181" s="4"/>
    </row>
    <row r="182" spans="1:6" x14ac:dyDescent="0.3">
      <c r="A182" s="4">
        <v>75</v>
      </c>
      <c r="B182" s="4">
        <v>88.6</v>
      </c>
      <c r="C182" s="4">
        <v>85.984000000000009</v>
      </c>
      <c r="D182" s="4">
        <v>92.100000000000009</v>
      </c>
      <c r="E182" s="4">
        <v>92.800000000000011</v>
      </c>
      <c r="F182" s="4"/>
    </row>
    <row r="183" spans="1:6" x14ac:dyDescent="0.3">
      <c r="A183" s="4">
        <v>75.416666666666671</v>
      </c>
      <c r="B183" s="4">
        <v>88.849000000000004</v>
      </c>
      <c r="C183" s="4">
        <v>86.262</v>
      </c>
      <c r="D183" s="4">
        <v>92.278999999999996</v>
      </c>
      <c r="E183" s="4">
        <v>92.959000000000003</v>
      </c>
      <c r="F183" s="4"/>
    </row>
    <row r="184" spans="1:6" x14ac:dyDescent="0.3">
      <c r="A184" s="4">
        <v>75.833333333333329</v>
      </c>
      <c r="B184" s="4">
        <v>89.096000000000004</v>
      </c>
      <c r="C184" s="4">
        <v>86.539000000000001</v>
      </c>
      <c r="D184" s="4">
        <v>92.454999999999998</v>
      </c>
      <c r="E184" s="4">
        <v>93.117000000000004</v>
      </c>
      <c r="F184" s="4"/>
    </row>
    <row r="185" spans="1:6" x14ac:dyDescent="0.3">
      <c r="A185" s="4">
        <v>76.25</v>
      </c>
      <c r="B185" s="4">
        <v>89.341000000000008</v>
      </c>
      <c r="C185" s="4">
        <v>86.814999999999998</v>
      </c>
      <c r="D185" s="4">
        <v>92.628999999999991</v>
      </c>
      <c r="E185" s="4">
        <v>93.272999999999996</v>
      </c>
      <c r="F185" s="4"/>
    </row>
    <row r="186" spans="1:6" x14ac:dyDescent="0.3">
      <c r="A186" s="4">
        <v>76.666666666666657</v>
      </c>
      <c r="B186" s="4">
        <v>89.584000000000003</v>
      </c>
      <c r="C186" s="4">
        <v>87.088999999999999</v>
      </c>
      <c r="D186" s="4">
        <v>92.800000000000011</v>
      </c>
      <c r="E186" s="4">
        <v>93.427999999999997</v>
      </c>
      <c r="F186" s="4"/>
    </row>
    <row r="187" spans="1:6" x14ac:dyDescent="0.3">
      <c r="A187" s="4">
        <v>77.083333333333343</v>
      </c>
      <c r="B187" s="4">
        <v>89.825000000000003</v>
      </c>
      <c r="C187" s="4">
        <v>87.361000000000004</v>
      </c>
      <c r="D187" s="4">
        <v>92.969000000000008</v>
      </c>
      <c r="E187" s="4">
        <v>93.581000000000003</v>
      </c>
      <c r="F187" s="4"/>
    </row>
    <row r="188" spans="1:6" x14ac:dyDescent="0.3">
      <c r="A188" s="4">
        <v>77.5</v>
      </c>
      <c r="B188" s="4">
        <v>90.063999999999993</v>
      </c>
      <c r="C188" s="4">
        <v>87.632000000000005</v>
      </c>
      <c r="D188" s="4">
        <v>93.135000000000005</v>
      </c>
      <c r="E188" s="4">
        <v>93.733000000000004</v>
      </c>
      <c r="F188" s="4"/>
    </row>
    <row r="189" spans="1:6" x14ac:dyDescent="0.3">
      <c r="A189" s="4">
        <v>77.916666666666671</v>
      </c>
      <c r="B189" s="4">
        <v>90.301000000000002</v>
      </c>
      <c r="C189" s="4">
        <v>87.900999999999996</v>
      </c>
      <c r="D189" s="4">
        <v>93.298999999999992</v>
      </c>
      <c r="E189" s="4">
        <v>93.88300000000001</v>
      </c>
      <c r="F189" s="4"/>
    </row>
    <row r="190" spans="1:6" x14ac:dyDescent="0.3">
      <c r="A190" s="4">
        <v>78.333333333333329</v>
      </c>
      <c r="B190" s="4">
        <v>90.536000000000001</v>
      </c>
      <c r="C190" s="4">
        <v>88.168999999999997</v>
      </c>
      <c r="D190" s="4">
        <v>93.46</v>
      </c>
      <c r="E190" s="4">
        <v>94.032000000000011</v>
      </c>
      <c r="F190" s="4"/>
    </row>
    <row r="191" spans="1:6" x14ac:dyDescent="0.3">
      <c r="A191" s="4">
        <v>78.75</v>
      </c>
      <c r="B191" s="4">
        <v>90.769000000000005</v>
      </c>
      <c r="C191" s="4">
        <v>88.435000000000002</v>
      </c>
      <c r="D191" s="4">
        <v>93.619</v>
      </c>
      <c r="E191" s="4">
        <v>94.179000000000002</v>
      </c>
      <c r="F191" s="4"/>
    </row>
    <row r="192" spans="1:6" x14ac:dyDescent="0.3">
      <c r="A192" s="4">
        <v>79.166666666666657</v>
      </c>
      <c r="B192" s="4">
        <v>91</v>
      </c>
      <c r="C192" s="4">
        <v>88.7</v>
      </c>
      <c r="D192" s="4">
        <v>93.774999999999991</v>
      </c>
      <c r="E192" s="4">
        <v>94.325000000000003</v>
      </c>
      <c r="F192" s="4"/>
    </row>
    <row r="193" spans="1:6" x14ac:dyDescent="0.3">
      <c r="A193" s="4">
        <v>79.583333333333343</v>
      </c>
      <c r="B193" s="4">
        <v>91.228999999999999</v>
      </c>
      <c r="C193" s="4">
        <v>88.963000000000008</v>
      </c>
      <c r="D193" s="4">
        <v>93.929000000000002</v>
      </c>
      <c r="E193" s="4">
        <v>94.469000000000008</v>
      </c>
      <c r="F193" s="4"/>
    </row>
    <row r="194" spans="1:6" x14ac:dyDescent="0.3">
      <c r="A194" s="4">
        <v>80</v>
      </c>
      <c r="B194" s="4">
        <v>91.456000000000003</v>
      </c>
      <c r="C194" s="4">
        <v>89.224999999999994</v>
      </c>
      <c r="D194" s="4">
        <v>94.08</v>
      </c>
      <c r="E194" s="4">
        <v>94.611999999999995</v>
      </c>
      <c r="F194" s="4"/>
    </row>
    <row r="195" spans="1:6" x14ac:dyDescent="0.3">
      <c r="A195" s="4">
        <v>80.416666666666671</v>
      </c>
      <c r="B195" s="4">
        <v>91.680999999999997</v>
      </c>
      <c r="C195" s="4">
        <v>89.484999999999999</v>
      </c>
      <c r="D195" s="4">
        <v>94.228999999999999</v>
      </c>
      <c r="E195" s="4">
        <v>94.753</v>
      </c>
      <c r="F195" s="4"/>
    </row>
    <row r="196" spans="1:6" x14ac:dyDescent="0.3">
      <c r="A196" s="4">
        <v>80.833333333333329</v>
      </c>
      <c r="B196" s="4">
        <v>91.903999999999996</v>
      </c>
      <c r="C196" s="4">
        <v>89.744</v>
      </c>
      <c r="D196" s="4">
        <v>94.375</v>
      </c>
      <c r="E196" s="4">
        <v>94.893000000000001</v>
      </c>
      <c r="F196" s="4"/>
    </row>
    <row r="197" spans="1:6" x14ac:dyDescent="0.3">
      <c r="A197" s="4">
        <v>81.25</v>
      </c>
      <c r="B197" s="4">
        <v>92.125</v>
      </c>
      <c r="C197" s="4">
        <v>90.001000000000005</v>
      </c>
      <c r="D197" s="4">
        <v>94.518999999999991</v>
      </c>
      <c r="E197" s="4">
        <v>95.031000000000006</v>
      </c>
      <c r="F197" s="4"/>
    </row>
    <row r="198" spans="1:6" x14ac:dyDescent="0.3">
      <c r="A198" s="4">
        <v>81.666666666666671</v>
      </c>
      <c r="B198" s="4">
        <v>92.344000000000008</v>
      </c>
      <c r="C198" s="4">
        <v>90.257000000000005</v>
      </c>
      <c r="D198" s="4">
        <v>94.66</v>
      </c>
      <c r="E198" s="4">
        <v>95.167999999999992</v>
      </c>
      <c r="F198" s="4"/>
    </row>
    <row r="199" spans="1:6" x14ac:dyDescent="0.3">
      <c r="A199" s="4">
        <v>82.083333333333329</v>
      </c>
      <c r="B199" s="4">
        <v>92.561000000000007</v>
      </c>
      <c r="C199" s="4">
        <v>90.510999999999996</v>
      </c>
      <c r="D199" s="4">
        <v>94.799000000000007</v>
      </c>
      <c r="E199" s="4">
        <v>95.302999999999997</v>
      </c>
      <c r="F199" s="4"/>
    </row>
    <row r="200" spans="1:6" x14ac:dyDescent="0.3">
      <c r="A200" s="4">
        <v>82.5</v>
      </c>
      <c r="B200" s="4">
        <v>92.775999999999996</v>
      </c>
      <c r="C200" s="4">
        <v>90.763000000000005</v>
      </c>
      <c r="D200" s="4">
        <v>94.935000000000002</v>
      </c>
      <c r="E200" s="4">
        <v>95.437000000000012</v>
      </c>
      <c r="F200" s="4"/>
    </row>
    <row r="201" spans="1:6" x14ac:dyDescent="0.3">
      <c r="A201" s="4">
        <v>82.916666666666657</v>
      </c>
      <c r="B201" s="4">
        <v>92.989000000000004</v>
      </c>
      <c r="C201" s="4">
        <v>91.013999999999996</v>
      </c>
      <c r="D201" s="4">
        <v>95.069000000000003</v>
      </c>
      <c r="E201" s="4">
        <v>95.569000000000003</v>
      </c>
      <c r="F201" s="4"/>
    </row>
    <row r="202" spans="1:6" x14ac:dyDescent="0.3">
      <c r="A202" s="4">
        <v>83.333333333333343</v>
      </c>
      <c r="B202" s="4">
        <v>93.2</v>
      </c>
      <c r="C202" s="4">
        <v>91.263999999999996</v>
      </c>
      <c r="D202" s="4">
        <v>95.199999999999989</v>
      </c>
      <c r="E202" s="4">
        <v>95.7</v>
      </c>
      <c r="F202" s="4"/>
    </row>
    <row r="203" spans="1:6" x14ac:dyDescent="0.3">
      <c r="A203" s="4">
        <v>83.75</v>
      </c>
      <c r="B203" s="4">
        <v>93.408999999999992</v>
      </c>
      <c r="C203" s="4">
        <v>91.512</v>
      </c>
      <c r="D203" s="4">
        <v>95.33</v>
      </c>
      <c r="E203" s="4">
        <v>95.828999999999994</v>
      </c>
      <c r="F203" s="4"/>
    </row>
    <row r="204" spans="1:6" x14ac:dyDescent="0.3">
      <c r="A204" s="4">
        <v>84.166666666666671</v>
      </c>
      <c r="B204" s="4">
        <v>93.616</v>
      </c>
      <c r="C204" s="4">
        <v>91.759</v>
      </c>
      <c r="D204" s="4">
        <v>95.459000000000003</v>
      </c>
      <c r="E204" s="4">
        <v>95.957999999999998</v>
      </c>
      <c r="F204" s="4"/>
    </row>
    <row r="205" spans="1:6" x14ac:dyDescent="0.3">
      <c r="A205" s="4">
        <v>84.583333333333329</v>
      </c>
      <c r="B205" s="4">
        <v>93.820999999999998</v>
      </c>
      <c r="C205" s="4">
        <v>92.003999999999991</v>
      </c>
      <c r="D205" s="4">
        <v>95.587999999999994</v>
      </c>
      <c r="E205" s="4">
        <v>96.084999999999994</v>
      </c>
      <c r="F205" s="4"/>
    </row>
    <row r="206" spans="1:6" x14ac:dyDescent="0.3">
      <c r="A206" s="4">
        <v>85</v>
      </c>
      <c r="B206" s="4">
        <v>94.024000000000001</v>
      </c>
      <c r="C206" s="4">
        <v>92.247</v>
      </c>
      <c r="D206" s="4">
        <v>95.716000000000008</v>
      </c>
      <c r="E206" s="4">
        <v>96.210999999999999</v>
      </c>
      <c r="F206" s="4"/>
    </row>
    <row r="207" spans="1:6" x14ac:dyDescent="0.3">
      <c r="A207" s="4">
        <v>85.416666666666657</v>
      </c>
      <c r="B207" s="4">
        <v>94.225000000000009</v>
      </c>
      <c r="C207" s="4">
        <v>92.489000000000004</v>
      </c>
      <c r="D207" s="4">
        <v>95.843999999999994</v>
      </c>
      <c r="E207" s="4">
        <v>96.335999999999999</v>
      </c>
      <c r="F207" s="4"/>
    </row>
    <row r="208" spans="1:6" x14ac:dyDescent="0.3">
      <c r="A208" s="4">
        <v>85.833333333333343</v>
      </c>
      <c r="B208" s="4">
        <v>94.423999999999992</v>
      </c>
      <c r="C208" s="4">
        <v>92.728999999999999</v>
      </c>
      <c r="D208" s="4">
        <v>95.970999999999989</v>
      </c>
      <c r="E208" s="4">
        <v>96.460000000000008</v>
      </c>
      <c r="F208" s="4"/>
    </row>
    <row r="209" spans="1:6" x14ac:dyDescent="0.3">
      <c r="A209" s="4">
        <v>86.25</v>
      </c>
      <c r="B209" s="4">
        <v>94.620999999999995</v>
      </c>
      <c r="C209" s="4">
        <v>92.967999999999989</v>
      </c>
      <c r="D209" s="4">
        <v>96.097999999999999</v>
      </c>
      <c r="E209" s="4">
        <v>96.582000000000008</v>
      </c>
      <c r="F209" s="4"/>
    </row>
    <row r="210" spans="1:6" x14ac:dyDescent="0.3">
      <c r="A210" s="4">
        <v>86.666666666666671</v>
      </c>
      <c r="B210" s="4">
        <v>94.816000000000003</v>
      </c>
      <c r="C210" s="4">
        <v>93.206000000000003</v>
      </c>
      <c r="D210" s="4">
        <v>96.224000000000004</v>
      </c>
      <c r="E210" s="4">
        <v>96.704000000000008</v>
      </c>
      <c r="F210" s="4"/>
    </row>
    <row r="211" spans="1:6" x14ac:dyDescent="0.3">
      <c r="A211" s="4">
        <v>87.083333333333329</v>
      </c>
      <c r="B211" s="4">
        <v>95.009</v>
      </c>
      <c r="C211" s="4">
        <v>93.442000000000007</v>
      </c>
      <c r="D211" s="4">
        <v>96.350000000000009</v>
      </c>
      <c r="E211" s="4">
        <v>96.823999999999998</v>
      </c>
      <c r="F211" s="4"/>
    </row>
    <row r="212" spans="1:6" x14ac:dyDescent="0.3">
      <c r="A212" s="4">
        <v>87.5</v>
      </c>
      <c r="B212" s="4">
        <v>95.199999999999989</v>
      </c>
      <c r="C212" s="4">
        <v>93.676000000000002</v>
      </c>
      <c r="D212" s="4">
        <v>96.474999999999994</v>
      </c>
      <c r="E212" s="4">
        <v>96.944000000000003</v>
      </c>
      <c r="F212" s="4"/>
    </row>
    <row r="213" spans="1:6" x14ac:dyDescent="0.3">
      <c r="A213" s="4">
        <v>87.916666666666671</v>
      </c>
      <c r="B213" s="4">
        <v>95.388999999999996</v>
      </c>
      <c r="C213" s="4">
        <v>93.908999999999992</v>
      </c>
      <c r="D213" s="4">
        <v>96.6</v>
      </c>
      <c r="E213" s="4">
        <v>97.061999999999998</v>
      </c>
      <c r="F213" s="4"/>
    </row>
    <row r="214" spans="1:6" x14ac:dyDescent="0.3">
      <c r="A214" s="4">
        <v>88.333333333333329</v>
      </c>
      <c r="B214" s="4">
        <v>95.576000000000008</v>
      </c>
      <c r="C214" s="4">
        <v>94.14</v>
      </c>
      <c r="D214" s="4">
        <v>96.724000000000004</v>
      </c>
      <c r="E214" s="4">
        <v>97.179000000000002</v>
      </c>
      <c r="F214" s="4"/>
    </row>
    <row r="215" spans="1:6" x14ac:dyDescent="0.3">
      <c r="A215" s="4">
        <v>88.75</v>
      </c>
      <c r="B215" s="4">
        <v>95.760999999999996</v>
      </c>
      <c r="C215" s="4">
        <v>94.37</v>
      </c>
      <c r="D215" s="4">
        <v>96.847999999999999</v>
      </c>
      <c r="E215" s="4">
        <v>97.295000000000002</v>
      </c>
      <c r="F215" s="4"/>
    </row>
    <row r="216" spans="1:6" x14ac:dyDescent="0.3">
      <c r="A216" s="4">
        <v>89.166666666666657</v>
      </c>
      <c r="B216" s="4">
        <v>95.944000000000003</v>
      </c>
      <c r="C216" s="4">
        <v>94.597999999999999</v>
      </c>
      <c r="D216" s="4">
        <v>96.970999999999989</v>
      </c>
      <c r="E216" s="4">
        <v>97.41</v>
      </c>
      <c r="F216" s="4"/>
    </row>
    <row r="217" spans="1:6" x14ac:dyDescent="0.3">
      <c r="A217" s="4">
        <v>89.583333333333343</v>
      </c>
      <c r="B217" s="4">
        <v>96.125</v>
      </c>
      <c r="C217" s="4">
        <v>94.825000000000003</v>
      </c>
      <c r="D217" s="4">
        <v>97.094000000000008</v>
      </c>
      <c r="E217" s="4">
        <v>97.52300000000001</v>
      </c>
      <c r="F217" s="4"/>
    </row>
    <row r="218" spans="1:6" x14ac:dyDescent="0.3">
      <c r="A218" s="4">
        <v>90</v>
      </c>
      <c r="B218" s="4">
        <v>96.304000000000002</v>
      </c>
      <c r="C218" s="4">
        <v>95.05</v>
      </c>
      <c r="D218" s="4">
        <v>97.216000000000008</v>
      </c>
      <c r="E218" s="4">
        <v>97.635999999999996</v>
      </c>
      <c r="F218" s="4"/>
    </row>
    <row r="219" spans="1:6" x14ac:dyDescent="0.3">
      <c r="A219" s="4">
        <v>90.416666666666671</v>
      </c>
      <c r="B219" s="4">
        <v>96.480999999999995</v>
      </c>
      <c r="C219" s="4">
        <v>95.274000000000001</v>
      </c>
      <c r="D219" s="4">
        <v>97.338000000000008</v>
      </c>
      <c r="E219" s="4">
        <v>97.747</v>
      </c>
      <c r="F219" s="4"/>
    </row>
    <row r="220" spans="1:6" x14ac:dyDescent="0.3">
      <c r="A220" s="4">
        <v>90.833333333333329</v>
      </c>
      <c r="B220" s="4">
        <v>96.655999999999992</v>
      </c>
      <c r="C220" s="4">
        <v>95.496000000000009</v>
      </c>
      <c r="D220" s="4">
        <v>97.458999999999989</v>
      </c>
      <c r="E220" s="4">
        <v>97.858000000000004</v>
      </c>
      <c r="F220" s="4"/>
    </row>
    <row r="221" spans="1:6" x14ac:dyDescent="0.3">
      <c r="A221" s="4">
        <v>91.25</v>
      </c>
      <c r="B221" s="4">
        <v>96.828999999999994</v>
      </c>
      <c r="C221" s="4">
        <v>95.716999999999999</v>
      </c>
      <c r="D221" s="4">
        <v>97.58</v>
      </c>
      <c r="E221" s="4">
        <v>97.966999999999999</v>
      </c>
      <c r="F221" s="4"/>
    </row>
    <row r="222" spans="1:6" x14ac:dyDescent="0.3">
      <c r="A222" s="4">
        <v>91.666666666666657</v>
      </c>
      <c r="B222" s="4">
        <v>97</v>
      </c>
      <c r="C222" s="4">
        <v>95.935999999999993</v>
      </c>
      <c r="D222" s="4">
        <v>97.7</v>
      </c>
      <c r="E222" s="4">
        <v>98.075000000000003</v>
      </c>
      <c r="F222" s="4"/>
    </row>
    <row r="223" spans="1:6" x14ac:dyDescent="0.3">
      <c r="A223" s="4">
        <v>92.083333333333343</v>
      </c>
      <c r="B223" s="4">
        <v>97.169000000000011</v>
      </c>
      <c r="C223" s="4">
        <v>96.153999999999996</v>
      </c>
      <c r="D223" s="4">
        <v>97.82</v>
      </c>
      <c r="E223" s="4">
        <v>98.182000000000002</v>
      </c>
      <c r="F223" s="4"/>
    </row>
    <row r="224" spans="1:6" x14ac:dyDescent="0.3">
      <c r="A224" s="4">
        <v>92.5</v>
      </c>
      <c r="B224" s="4">
        <v>97.335999999999999</v>
      </c>
      <c r="C224" s="4">
        <v>96.37</v>
      </c>
      <c r="D224" s="4">
        <v>97.938999999999993</v>
      </c>
      <c r="E224" s="4">
        <v>98.287999999999997</v>
      </c>
      <c r="F224" s="4"/>
    </row>
    <row r="225" spans="1:6" x14ac:dyDescent="0.3">
      <c r="A225" s="4">
        <v>92.916666666666671</v>
      </c>
      <c r="B225" s="4">
        <v>97.501000000000005</v>
      </c>
      <c r="C225" s="4">
        <v>96.584000000000003</v>
      </c>
      <c r="D225" s="4">
        <v>98.058000000000007</v>
      </c>
      <c r="E225" s="4">
        <v>98.391999999999996</v>
      </c>
      <c r="F225" s="4"/>
    </row>
    <row r="226" spans="1:6" x14ac:dyDescent="0.3">
      <c r="A226" s="4">
        <v>93.333333333333329</v>
      </c>
      <c r="B226" s="4">
        <v>97.664000000000001</v>
      </c>
      <c r="C226" s="4">
        <v>96.796999999999997</v>
      </c>
      <c r="D226" s="4">
        <v>98.176000000000002</v>
      </c>
      <c r="E226" s="4">
        <v>98.495999999999995</v>
      </c>
      <c r="F226" s="4"/>
    </row>
    <row r="227" spans="1:6" x14ac:dyDescent="0.3">
      <c r="A227" s="4">
        <v>93.75</v>
      </c>
      <c r="B227" s="4">
        <v>97.824999999999989</v>
      </c>
      <c r="C227" s="4">
        <v>97.009</v>
      </c>
      <c r="D227" s="4">
        <v>98.293999999999997</v>
      </c>
      <c r="E227" s="4">
        <v>98.597999999999999</v>
      </c>
      <c r="F227" s="4"/>
    </row>
    <row r="228" spans="1:6" x14ac:dyDescent="0.3">
      <c r="A228" s="4">
        <v>94.166666666666671</v>
      </c>
      <c r="B228" s="4">
        <v>97.984000000000009</v>
      </c>
      <c r="C228" s="4">
        <v>97.218999999999994</v>
      </c>
      <c r="D228" s="4">
        <v>98.411000000000001</v>
      </c>
      <c r="E228" s="4">
        <v>98.7</v>
      </c>
      <c r="F228" s="4"/>
    </row>
    <row r="229" spans="1:6" x14ac:dyDescent="0.3">
      <c r="A229" s="4">
        <v>94.583333333333329</v>
      </c>
      <c r="B229" s="4">
        <v>98.141000000000005</v>
      </c>
      <c r="C229" s="4">
        <v>97.427999999999997</v>
      </c>
      <c r="D229" s="4">
        <v>98.528000000000006</v>
      </c>
      <c r="E229" s="4">
        <v>98.8</v>
      </c>
      <c r="F229" s="4"/>
    </row>
    <row r="230" spans="1:6" x14ac:dyDescent="0.3">
      <c r="A230" s="4">
        <v>95</v>
      </c>
      <c r="B230" s="4">
        <v>98.295999999999992</v>
      </c>
      <c r="C230" s="4">
        <v>97.635000000000005</v>
      </c>
      <c r="D230" s="4">
        <v>98.644000000000005</v>
      </c>
      <c r="E230" s="4">
        <v>98.899000000000001</v>
      </c>
      <c r="F230" s="4"/>
    </row>
    <row r="231" spans="1:6" x14ac:dyDescent="0.3">
      <c r="A231" s="4">
        <v>95.416666666666657</v>
      </c>
      <c r="B231" s="4">
        <v>98.448999999999998</v>
      </c>
      <c r="C231" s="4">
        <v>97.84</v>
      </c>
      <c r="D231" s="4">
        <v>98.76</v>
      </c>
      <c r="E231" s="4">
        <v>98.997</v>
      </c>
      <c r="F231" s="4"/>
    </row>
    <row r="232" spans="1:6" x14ac:dyDescent="0.3">
      <c r="A232" s="4">
        <v>95.833333333333343</v>
      </c>
      <c r="B232" s="4">
        <v>98.6</v>
      </c>
      <c r="C232" s="4">
        <v>98.043999999999997</v>
      </c>
      <c r="D232" s="4">
        <v>98.875</v>
      </c>
      <c r="E232" s="4">
        <v>99.094000000000008</v>
      </c>
      <c r="F232" s="4"/>
    </row>
    <row r="233" spans="1:6" x14ac:dyDescent="0.3">
      <c r="A233" s="4">
        <v>96.25</v>
      </c>
      <c r="B233" s="4">
        <v>98.748999999999995</v>
      </c>
      <c r="C233" s="4">
        <v>98.245999999999995</v>
      </c>
      <c r="D233" s="4">
        <v>98.99</v>
      </c>
      <c r="E233" s="4">
        <v>99.189000000000007</v>
      </c>
      <c r="F233" s="4"/>
    </row>
    <row r="234" spans="1:6" x14ac:dyDescent="0.3">
      <c r="A234" s="4">
        <v>96.666666666666671</v>
      </c>
      <c r="B234" s="4">
        <v>98.896000000000001</v>
      </c>
      <c r="C234" s="4">
        <v>98.447000000000003</v>
      </c>
      <c r="D234" s="4">
        <v>99.103999999999999</v>
      </c>
      <c r="E234" s="4">
        <v>99.283999999999992</v>
      </c>
      <c r="F234" s="4"/>
    </row>
    <row r="235" spans="1:6" x14ac:dyDescent="0.3">
      <c r="A235" s="4">
        <v>97.083333333333329</v>
      </c>
      <c r="B235" s="4">
        <v>99.040999999999997</v>
      </c>
      <c r="C235" s="4">
        <v>98.646999999999991</v>
      </c>
      <c r="D235" s="4">
        <v>99.217999999999989</v>
      </c>
      <c r="E235" s="4">
        <v>99.37700000000001</v>
      </c>
      <c r="F235" s="4"/>
    </row>
    <row r="236" spans="1:6" x14ac:dyDescent="0.3">
      <c r="A236" s="4">
        <v>97.5</v>
      </c>
      <c r="B236" s="4">
        <v>99.184000000000012</v>
      </c>
      <c r="C236" s="4">
        <v>98.844999999999999</v>
      </c>
      <c r="D236" s="4">
        <v>99.331000000000003</v>
      </c>
      <c r="E236" s="4">
        <v>99.47</v>
      </c>
      <c r="F236" s="4"/>
    </row>
    <row r="237" spans="1:6" x14ac:dyDescent="0.3">
      <c r="A237" s="4">
        <v>97.916666666666657</v>
      </c>
      <c r="B237" s="4">
        <v>99.325000000000003</v>
      </c>
      <c r="C237" s="4">
        <v>99.040999999999997</v>
      </c>
      <c r="D237" s="4">
        <v>99.444000000000003</v>
      </c>
      <c r="E237" s="4">
        <v>99.560999999999993</v>
      </c>
      <c r="F237" s="4"/>
    </row>
    <row r="238" spans="1:6" x14ac:dyDescent="0.3">
      <c r="A238" s="4">
        <v>98.333333333333343</v>
      </c>
      <c r="B238" s="4">
        <v>99.463999999999999</v>
      </c>
      <c r="C238" s="4">
        <v>99.236000000000004</v>
      </c>
      <c r="D238" s="4">
        <v>99.555999999999997</v>
      </c>
      <c r="E238" s="4">
        <v>99.650999999999996</v>
      </c>
      <c r="F238" s="4"/>
    </row>
    <row r="239" spans="1:6" x14ac:dyDescent="0.3">
      <c r="A239" s="4">
        <v>98.75</v>
      </c>
      <c r="B239" s="4">
        <v>99.600999999999999</v>
      </c>
      <c r="C239" s="4">
        <v>99.429000000000002</v>
      </c>
      <c r="D239" s="4">
        <v>99.668000000000006</v>
      </c>
      <c r="E239" s="4">
        <v>99.74</v>
      </c>
      <c r="F239" s="4"/>
    </row>
    <row r="240" spans="1:6" x14ac:dyDescent="0.3">
      <c r="A240" s="4">
        <v>99.166666666666671</v>
      </c>
      <c r="B240" s="4">
        <v>99.736000000000004</v>
      </c>
      <c r="C240" s="4">
        <v>99.621000000000009</v>
      </c>
      <c r="D240" s="4">
        <v>99.778999999999996</v>
      </c>
      <c r="E240" s="4">
        <v>99.827999999999989</v>
      </c>
      <c r="F240" s="4"/>
    </row>
    <row r="241" spans="1:6" x14ac:dyDescent="0.3">
      <c r="A241" s="4">
        <v>99.583333333333329</v>
      </c>
      <c r="B241" s="4">
        <v>99.869</v>
      </c>
      <c r="C241" s="4">
        <v>99.811000000000007</v>
      </c>
      <c r="D241" s="4">
        <v>99.89</v>
      </c>
      <c r="E241" s="4">
        <v>99.914000000000001</v>
      </c>
      <c r="F241" s="4"/>
    </row>
    <row r="242" spans="1:6" x14ac:dyDescent="0.3">
      <c r="A242" s="4">
        <v>100</v>
      </c>
      <c r="B242" s="4">
        <v>100</v>
      </c>
      <c r="C242" s="4">
        <v>100</v>
      </c>
      <c r="D242" s="4">
        <v>100</v>
      </c>
      <c r="E242" s="4">
        <v>100</v>
      </c>
      <c r="F242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 Cuencas</vt:lpstr>
      <vt:lpstr>HUS</vt:lpstr>
      <vt:lpstr>Pp Max</vt:lpstr>
      <vt:lpstr>CD</vt:lpstr>
      <vt:lpstr>DT_USCS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2026-05-30T01:07:33Z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