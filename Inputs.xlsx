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usenco.sharepoint.com/sites/tg-santiago-waterresources/Shared Documents/General/Hidrología - Hidráulica/Biblioteca/Repositorio/Planillas/Tiempo concentracion/"/>
    </mc:Choice>
  </mc:AlternateContent>
  <xr:revisionPtr revIDLastSave="11" documentId="13_ncr:1_{32D9CF2F-367B-4BF6-899F-E31136CAE2F8}" xr6:coauthVersionLast="47" xr6:coauthVersionMax="47" xr10:uidLastSave="{5F11900D-AF93-4AF4-8EC8-327C24A2954B}"/>
  <bookViews>
    <workbookView xWindow="-28920" yWindow="-120" windowWidth="29040" windowHeight="15720" xr2:uid="{00000000-000D-0000-FFFF-FFFF00000000}"/>
  </bookViews>
  <sheets>
    <sheet name="Info Cuenca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N12" i="1"/>
  <c r="Q12" i="1"/>
  <c r="N13" i="1"/>
  <c r="Q13" i="1"/>
  <c r="N14" i="1"/>
  <c r="Q14" i="1"/>
  <c r="M4" i="1"/>
  <c r="M5" i="1"/>
  <c r="M6" i="1"/>
  <c r="M7" i="1"/>
  <c r="M8" i="1"/>
  <c r="M9" i="1"/>
  <c r="M10" i="1"/>
  <c r="M11" i="1"/>
  <c r="M12" i="1"/>
  <c r="M13" i="1"/>
  <c r="M14" i="1"/>
  <c r="M3" i="1"/>
  <c r="P3" i="1"/>
  <c r="P2" i="1"/>
  <c r="O3" i="1"/>
  <c r="O2" i="1"/>
  <c r="N3" i="1"/>
  <c r="N2" i="1"/>
  <c r="Q3" i="1"/>
  <c r="Q2" i="1"/>
  <c r="O7" i="1" l="1"/>
  <c r="P7" i="1"/>
  <c r="O8" i="1"/>
  <c r="P8" i="1"/>
  <c r="P9" i="1"/>
  <c r="O9" i="1"/>
  <c r="P10" i="1"/>
  <c r="O10" i="1"/>
  <c r="O11" i="1"/>
  <c r="P11" i="1"/>
  <c r="O12" i="1"/>
  <c r="P12" i="1"/>
  <c r="P13" i="1"/>
  <c r="O13" i="1"/>
  <c r="O14" i="1"/>
  <c r="P14" i="1"/>
  <c r="O5" i="1"/>
  <c r="P5" i="1"/>
  <c r="P6" i="1"/>
  <c r="O6" i="1"/>
  <c r="O4" i="1"/>
  <c r="P4" i="1"/>
</calcChain>
</file>

<file path=xl/sharedStrings.xml><?xml version="1.0" encoding="utf-8"?>
<sst xmlns="http://schemas.openxmlformats.org/spreadsheetml/2006/main" count="17" uniqueCount="17">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</sst>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293370</xdr:colOff>
      <xdr:row>0</xdr:row>
      <xdr:rowOff>381001</xdr:rowOff>
    </xdr:from>
    <xdr:to>
      <xdr:col>23</xdr:col>
      <xdr:colOff>64770</xdr:colOff>
      <xdr:row>3</xdr:row>
      <xdr:rowOff>85726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6028670" y="381001"/>
          <a:ext cx="2819400" cy="76200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0"/>
  <sheetViews>
    <sheetView tabSelected="1" workbookViewId="0">
      <selection activeCell="C12" sqref="C12"/>
    </sheetView>
  </sheetViews>
  <sheetFormatPr defaultRowHeight="14.45"/>
  <cols>
    <col min="1" max="1" width="14.7109375" customWidth="1"/>
    <col min="2" max="11" width="12.7109375" customWidth="1"/>
    <col min="13" max="17" width="12.7109375" customWidth="1"/>
    <col min="18" max="18" width="14.28515625" customWidth="1"/>
  </cols>
  <sheetData>
    <row r="1" spans="1:18" ht="55.15" customHeight="1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>
      <c r="B2" s="4"/>
      <c r="D2" s="5"/>
      <c r="E2" s="5"/>
      <c r="F2" s="5"/>
      <c r="G2" s="5"/>
      <c r="H2" s="3"/>
      <c r="I2" s="3"/>
      <c r="J2" s="3"/>
      <c r="K2" s="5"/>
      <c r="M2" s="6" t="str">
        <f>IF(OR(I2="",F2=""),"",IF(OR(I2&lt;=0,F2&lt;=0),"",0.95*((I2^3)/F2)^0.385))</f>
        <v/>
      </c>
      <c r="N2" s="6" t="str">
        <f>IF(OR(B2="",I2="",G2="",D2=""),"",IF(OR(B2&lt;=0,I2&lt;=0,G2&lt;=D2),"",(4*SQRT(B2)+1.5*I2)/(0.8*SQRT(G2-D2))))</f>
        <v/>
      </c>
      <c r="O2" s="6" t="str">
        <f>IF(OR(I2="",C2="",H2=""),"",IF(OR(I2&lt;=0,H2&lt;=0,C2&lt;=0,C2&gt;100),"",((100*((I2*1000/0.3048)^0.8)*(((1000/C2)-9)^0.7))/(1900*SQRT(H2*100)))/60))</f>
        <v/>
      </c>
      <c r="P2" s="6" t="str">
        <f>IF(OR(I2="",H2=""),"",IF(OR(I2&lt;=0,H2&lt;=0),"",(18*(I2^0.76)/(H2^0.19))/60))</f>
        <v/>
      </c>
      <c r="Q2" s="6" t="str">
        <f>IF(OR(I2="",K2=""),"",IF(OR(I2&lt;=0,K2&lt;=0),"",I2/(3.6*K2)))</f>
        <v/>
      </c>
    </row>
    <row r="3" spans="1:18">
      <c r="B3" s="4"/>
      <c r="D3" s="5"/>
      <c r="E3" s="5"/>
      <c r="F3" s="5"/>
      <c r="G3" s="5"/>
      <c r="H3" s="3"/>
      <c r="I3" s="3"/>
      <c r="J3" s="3"/>
      <c r="K3" s="5"/>
      <c r="M3" s="6" t="str">
        <f t="shared" ref="M3:M14" si="0">IF(OR(I3="",F3=""),"",IF(OR(I3&lt;=0,F3&lt;=0),"",0.95*((I3^3)/F3)^0.385))</f>
        <v/>
      </c>
      <c r="N3" s="6" t="str">
        <f>IF(OR(B3="",I3="",G3="",D3=""),"",IF(OR(B3&lt;=0,I3&lt;=0,G3&lt;=D3),"",(4*SQRT(B3)+1.5*I3)/(0.8*SQRT(G3-D3))))</f>
        <v/>
      </c>
      <c r="O3" s="6" t="str">
        <f>IF(OR(I3="",C3="",H3=""),"",IF(OR(I3&lt;=0,H3&lt;=0,C3&lt;=0,C3&gt;100),"",((100*((I3*1000/0.3048)^0.8)*(((1000/C3)-9)^0.7))/(1900*SQRT(H3*100)))/60))</f>
        <v/>
      </c>
      <c r="P3" s="6" t="str">
        <f>IF(OR(I3="",H3=""),"",IF(OR(I3&lt;=0,H3&lt;=0),"",(18*(I3^0.76)/(H3^0.19))/60))</f>
        <v/>
      </c>
      <c r="Q3" s="6" t="str">
        <f>IF(OR(I3="",K3=""),"",IF(OR(I3&lt;=0,K3&lt;=0),"",I3/(3.6*K3)))</f>
        <v/>
      </c>
    </row>
    <row r="4" spans="1:18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4" si="1">IF(OR(B4="",I4="",G4="",D4=""),"",IF(OR(B4&lt;=0,I4&lt;=0,G4&lt;=D4),"",(4*SQRT(B4)+1.5*I4)/(0.8*SQRT(G4-D4))))</f>
        <v/>
      </c>
      <c r="O4" s="6" t="str">
        <f t="shared" ref="O4:O14" si="2">IF(OR(I4="",C4="",H4=""),"",IF(OR(I4&lt;=0,H4&lt;=0,C4&lt;=0,C4&gt;100),"",((100*((I4*1000/0.3048)^0.8)*(((1000/C4)-9)^0.7))/(1900*SQRT(H4*100)))/60))</f>
        <v/>
      </c>
      <c r="P4" s="6" t="str">
        <f t="shared" ref="P4:P14" si="3">IF(OR(I4="",H4=""),"",IF(OR(I4&lt;=0,H4&lt;=0),"",(18*(I4^0.76)/(H4^0.19))/60))</f>
        <v/>
      </c>
      <c r="Q4" s="6" t="str">
        <f t="shared" ref="Q4:Q14" si="4">IF(OR(I4="",K4=""),"",IF(OR(I4&lt;=0,K4&lt;=0),"",I4/(3.6*K4)))</f>
        <v/>
      </c>
    </row>
    <row r="5" spans="1:18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</row>
    <row r="6" spans="1:18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</row>
    <row r="7" spans="1:18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</row>
    <row r="8" spans="1:18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</row>
    <row r="9" spans="1:18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</row>
    <row r="10" spans="1:18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</row>
    <row r="11" spans="1:18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>
      <c r="B12" s="4"/>
      <c r="D12" s="5"/>
      <c r="E12" s="5"/>
      <c r="F12" s="5"/>
      <c r="G12" s="5"/>
      <c r="H12" s="3"/>
      <c r="I12" s="3"/>
      <c r="M12" s="6" t="str">
        <f t="shared" si="0"/>
        <v/>
      </c>
      <c r="N12" s="6" t="str">
        <f t="shared" si="1"/>
        <v/>
      </c>
      <c r="O12" s="6" t="str">
        <f t="shared" si="2"/>
        <v/>
      </c>
      <c r="P12" s="6" t="str">
        <f t="shared" si="3"/>
        <v/>
      </c>
      <c r="Q12" s="6" t="str">
        <f t="shared" si="4"/>
        <v/>
      </c>
    </row>
    <row r="13" spans="1:18">
      <c r="B13" s="4"/>
      <c r="D13" s="5"/>
      <c r="E13" s="5"/>
      <c r="F13" s="5"/>
      <c r="G13" s="5"/>
      <c r="H13" s="3"/>
      <c r="I13" s="3"/>
      <c r="M13" s="6" t="str">
        <f t="shared" si="0"/>
        <v/>
      </c>
      <c r="N13" s="6" t="str">
        <f t="shared" si="1"/>
        <v/>
      </c>
      <c r="O13" s="6" t="str">
        <f t="shared" si="2"/>
        <v/>
      </c>
      <c r="P13" s="6" t="str">
        <f t="shared" si="3"/>
        <v/>
      </c>
      <c r="Q13" s="6" t="str">
        <f t="shared" si="4"/>
        <v/>
      </c>
    </row>
    <row r="14" spans="1:18">
      <c r="B14" s="4"/>
      <c r="D14" s="5"/>
      <c r="E14" s="5"/>
      <c r="F14" s="5"/>
      <c r="G14" s="5"/>
      <c r="H14" s="3"/>
      <c r="I14" s="3"/>
      <c r="M14" s="6" t="str">
        <f t="shared" si="0"/>
        <v/>
      </c>
      <c r="N14" s="6" t="str">
        <f t="shared" si="1"/>
        <v/>
      </c>
      <c r="O14" s="6" t="str">
        <f t="shared" si="2"/>
        <v/>
      </c>
      <c r="P14" s="6" t="str">
        <f t="shared" si="3"/>
        <v/>
      </c>
      <c r="Q14" s="6" t="str">
        <f t="shared" si="4"/>
        <v/>
      </c>
    </row>
    <row r="19" spans="8:8">
      <c r="H19" s="3"/>
    </row>
    <row r="20" spans="8:8">
      <c r="H20" s="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24384BF-B442-43EF-BEBD-26F0C03197F3}"/>
</file>

<file path=customXml/itemProps2.xml><?xml version="1.0" encoding="utf-8"?>
<ds:datastoreItem xmlns:ds="http://schemas.openxmlformats.org/officeDocument/2006/customXml" ds:itemID="{26BC43C4-0DE4-4398-8C07-F13A3433226F}"/>
</file>

<file path=customXml/itemProps3.xml><?xml version="1.0" encoding="utf-8"?>
<ds:datastoreItem xmlns:ds="http://schemas.openxmlformats.org/officeDocument/2006/customXml" ds:itemID="{2A4DA3E6-B8B6-48A6-81EC-CAAD4DEE707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Rodrigo Gonzalez Gonzalez</cp:lastModifiedBy>
  <cp:revision/>
  <dcterms:created xsi:type="dcterms:W3CDTF">2015-06-05T18:17:20Z</dcterms:created>
  <dcterms:modified xsi:type="dcterms:W3CDTF">2026-05-14T16:53:00Z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