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0873C22F-FC01-464E-8899-90B38A3D86B1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Tormentas" sheetId="5" r:id="rId5"/>
    <sheet name="Ratio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3" i="2"/>
  <c r="B2" i="2"/>
  <c r="C2" i="2"/>
  <c r="B1" i="4" a="1"/>
  <c r="B1" i="4" s="1"/>
  <c r="B1" i="3" a="1"/>
  <c r="B1" i="3" s="1"/>
  <c r="E3" i="2" l="1"/>
  <c r="R2" i="1"/>
  <c r="C3" i="2"/>
  <c r="C14" i="2"/>
  <c r="C15" i="2"/>
  <c r="C18" i="2"/>
  <c r="C23" i="2"/>
  <c r="C27" i="2"/>
  <c r="C28" i="2"/>
  <c r="C39" i="2"/>
  <c r="C43" i="2"/>
  <c r="C44" i="2"/>
  <c r="C55" i="2"/>
  <c r="C59" i="2"/>
  <c r="C60" i="2"/>
  <c r="C71" i="2"/>
  <c r="C75" i="2"/>
  <c r="C76" i="2"/>
  <c r="C87" i="2"/>
  <c r="C91" i="2"/>
  <c r="C92" i="2"/>
  <c r="A3" i="2"/>
  <c r="F3" i="2" s="1"/>
  <c r="A4" i="2"/>
  <c r="A5" i="2"/>
  <c r="A6" i="2"/>
  <c r="A7" i="2"/>
  <c r="A8" i="2"/>
  <c r="A9" i="2"/>
  <c r="A10" i="2"/>
  <c r="A11" i="2"/>
  <c r="A12" i="2"/>
  <c r="E12" i="2" s="1"/>
  <c r="A13" i="2"/>
  <c r="E13" i="2" s="1"/>
  <c r="A14" i="2"/>
  <c r="E14" i="2" s="1"/>
  <c r="A15" i="2"/>
  <c r="E15" i="2" s="1"/>
  <c r="A16" i="2"/>
  <c r="E16" i="2" s="1"/>
  <c r="A17" i="2"/>
  <c r="E17" i="2" s="1"/>
  <c r="A18" i="2"/>
  <c r="E18" i="2" s="1"/>
  <c r="A19" i="2"/>
  <c r="E19" i="2" s="1"/>
  <c r="A20" i="2"/>
  <c r="E20" i="2" s="1"/>
  <c r="A21" i="2"/>
  <c r="E21" i="2" s="1"/>
  <c r="A22" i="2"/>
  <c r="E22" i="2" s="1"/>
  <c r="A23" i="2"/>
  <c r="E23" i="2" s="1"/>
  <c r="A24" i="2"/>
  <c r="E24" i="2" s="1"/>
  <c r="A25" i="2"/>
  <c r="E25" i="2" s="1"/>
  <c r="A26" i="2"/>
  <c r="E26" i="2" s="1"/>
  <c r="A27" i="2"/>
  <c r="E27" i="2" s="1"/>
  <c r="A28" i="2"/>
  <c r="E28" i="2" s="1"/>
  <c r="A29" i="2"/>
  <c r="E29" i="2" s="1"/>
  <c r="A30" i="2"/>
  <c r="E30" i="2" s="1"/>
  <c r="A31" i="2"/>
  <c r="E31" i="2" s="1"/>
  <c r="A32" i="2"/>
  <c r="E32" i="2" s="1"/>
  <c r="A33" i="2"/>
  <c r="E33" i="2" s="1"/>
  <c r="A34" i="2"/>
  <c r="E34" i="2" s="1"/>
  <c r="A35" i="2"/>
  <c r="E35" i="2" s="1"/>
  <c r="A36" i="2"/>
  <c r="E36" i="2" s="1"/>
  <c r="A37" i="2"/>
  <c r="E37" i="2" s="1"/>
  <c r="A38" i="2"/>
  <c r="E38" i="2" s="1"/>
  <c r="A39" i="2"/>
  <c r="E39" i="2" s="1"/>
  <c r="A40" i="2"/>
  <c r="E40" i="2" s="1"/>
  <c r="A41" i="2"/>
  <c r="E41" i="2" s="1"/>
  <c r="A42" i="2"/>
  <c r="E42" i="2" s="1"/>
  <c r="A43" i="2"/>
  <c r="E43" i="2" s="1"/>
  <c r="A44" i="2"/>
  <c r="E44" i="2" s="1"/>
  <c r="A45" i="2"/>
  <c r="E45" i="2" s="1"/>
  <c r="A46" i="2"/>
  <c r="E46" i="2" s="1"/>
  <c r="A47" i="2"/>
  <c r="E47" i="2" s="1"/>
  <c r="A48" i="2"/>
  <c r="E48" i="2" s="1"/>
  <c r="A49" i="2"/>
  <c r="E49" i="2" s="1"/>
  <c r="A50" i="2"/>
  <c r="E50" i="2" s="1"/>
  <c r="A51" i="2"/>
  <c r="E51" i="2" s="1"/>
  <c r="A52" i="2"/>
  <c r="E52" i="2" s="1"/>
  <c r="A53" i="2"/>
  <c r="E53" i="2" s="1"/>
  <c r="A54" i="2"/>
  <c r="E54" i="2" s="1"/>
  <c r="A55" i="2"/>
  <c r="E55" i="2" s="1"/>
  <c r="A56" i="2"/>
  <c r="E56" i="2" s="1"/>
  <c r="A57" i="2"/>
  <c r="E57" i="2" s="1"/>
  <c r="A58" i="2"/>
  <c r="E58" i="2" s="1"/>
  <c r="A59" i="2"/>
  <c r="E59" i="2" s="1"/>
  <c r="A60" i="2"/>
  <c r="E60" i="2" s="1"/>
  <c r="A61" i="2"/>
  <c r="E61" i="2" s="1"/>
  <c r="A62" i="2"/>
  <c r="E62" i="2" s="1"/>
  <c r="A63" i="2"/>
  <c r="E63" i="2" s="1"/>
  <c r="A64" i="2"/>
  <c r="E64" i="2" s="1"/>
  <c r="A65" i="2"/>
  <c r="E65" i="2" s="1"/>
  <c r="A66" i="2"/>
  <c r="E66" i="2" s="1"/>
  <c r="A67" i="2"/>
  <c r="E67" i="2" s="1"/>
  <c r="A68" i="2"/>
  <c r="E68" i="2" s="1"/>
  <c r="A69" i="2"/>
  <c r="E69" i="2" s="1"/>
  <c r="A70" i="2"/>
  <c r="E70" i="2" s="1"/>
  <c r="A71" i="2"/>
  <c r="E71" i="2" s="1"/>
  <c r="A72" i="2"/>
  <c r="E72" i="2" s="1"/>
  <c r="A73" i="2"/>
  <c r="E73" i="2" s="1"/>
  <c r="A74" i="2"/>
  <c r="E74" i="2" s="1"/>
  <c r="A75" i="2"/>
  <c r="E75" i="2" s="1"/>
  <c r="A76" i="2"/>
  <c r="E76" i="2" s="1"/>
  <c r="A77" i="2"/>
  <c r="E77" i="2" s="1"/>
  <c r="A78" i="2"/>
  <c r="E78" i="2" s="1"/>
  <c r="A79" i="2"/>
  <c r="E79" i="2" s="1"/>
  <c r="A80" i="2"/>
  <c r="E80" i="2" s="1"/>
  <c r="A81" i="2"/>
  <c r="E81" i="2" s="1"/>
  <c r="A82" i="2"/>
  <c r="E82" i="2" s="1"/>
  <c r="A83" i="2"/>
  <c r="E83" i="2" s="1"/>
  <c r="A84" i="2"/>
  <c r="E84" i="2" s="1"/>
  <c r="A85" i="2"/>
  <c r="E85" i="2" s="1"/>
  <c r="A86" i="2"/>
  <c r="E86" i="2" s="1"/>
  <c r="A87" i="2"/>
  <c r="E87" i="2" s="1"/>
  <c r="A88" i="2"/>
  <c r="E88" i="2" s="1"/>
  <c r="A89" i="2"/>
  <c r="E89" i="2" s="1"/>
  <c r="A90" i="2"/>
  <c r="E90" i="2" s="1"/>
  <c r="A91" i="2"/>
  <c r="E91" i="2" s="1"/>
  <c r="A92" i="2"/>
  <c r="E92" i="2" s="1"/>
  <c r="A93" i="2"/>
  <c r="E93" i="2" s="1"/>
  <c r="A94" i="2"/>
  <c r="E94" i="2" s="1"/>
  <c r="A95" i="2"/>
  <c r="E95" i="2" s="1"/>
  <c r="A96" i="2"/>
  <c r="E96" i="2" s="1"/>
  <c r="A97" i="2"/>
  <c r="C97" i="2" s="1"/>
  <c r="A98" i="2"/>
  <c r="E98" i="2" s="1"/>
  <c r="A99" i="2"/>
  <c r="C99" i="2" s="1"/>
  <c r="A100" i="2"/>
  <c r="C100" i="2" s="1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C50" i="2" l="1"/>
  <c r="C47" i="2"/>
  <c r="C94" i="2"/>
  <c r="C78" i="2"/>
  <c r="C62" i="2"/>
  <c r="C46" i="2"/>
  <c r="C30" i="2"/>
  <c r="C34" i="2"/>
  <c r="C95" i="2"/>
  <c r="C79" i="2"/>
  <c r="C63" i="2"/>
  <c r="C31" i="2"/>
  <c r="C11" i="2"/>
  <c r="E11" i="2"/>
  <c r="F11" i="2"/>
  <c r="G11" i="2"/>
  <c r="C93" i="2"/>
  <c r="C77" i="2"/>
  <c r="C61" i="2"/>
  <c r="C45" i="2"/>
  <c r="C29" i="2"/>
  <c r="C13" i="2"/>
  <c r="C66" i="2"/>
  <c r="E10" i="2"/>
  <c r="F10" i="2"/>
  <c r="G10" i="2"/>
  <c r="C12" i="2"/>
  <c r="C98" i="2"/>
  <c r="F9" i="2"/>
  <c r="E9" i="2"/>
  <c r="G9" i="2"/>
  <c r="E8" i="2"/>
  <c r="F8" i="2"/>
  <c r="G8" i="2"/>
  <c r="C90" i="2"/>
  <c r="C74" i="2"/>
  <c r="C58" i="2"/>
  <c r="C42" i="2"/>
  <c r="C26" i="2"/>
  <c r="G7" i="2"/>
  <c r="E7" i="2"/>
  <c r="F7" i="2"/>
  <c r="C89" i="2"/>
  <c r="C73" i="2"/>
  <c r="C57" i="2"/>
  <c r="C41" i="2"/>
  <c r="C25" i="2"/>
  <c r="C6" i="2"/>
  <c r="E6" i="2"/>
  <c r="F6" i="2"/>
  <c r="G6" i="2"/>
  <c r="C88" i="2"/>
  <c r="C72" i="2"/>
  <c r="C56" i="2"/>
  <c r="C40" i="2"/>
  <c r="C24" i="2"/>
  <c r="E100" i="2"/>
  <c r="C82" i="2"/>
  <c r="E2" i="2"/>
  <c r="F2" i="2" s="1"/>
  <c r="C4" i="2"/>
  <c r="F4" i="2"/>
  <c r="C86" i="2"/>
  <c r="C70" i="2"/>
  <c r="C54" i="2"/>
  <c r="C38" i="2"/>
  <c r="C22" i="2"/>
  <c r="E99" i="2"/>
  <c r="C5" i="2"/>
  <c r="E5" i="2"/>
  <c r="G5" i="2"/>
  <c r="F5" i="2"/>
  <c r="C85" i="2"/>
  <c r="C69" i="2"/>
  <c r="C53" i="2"/>
  <c r="C37" i="2"/>
  <c r="C21" i="2"/>
  <c r="C84" i="2"/>
  <c r="C68" i="2"/>
  <c r="C52" i="2"/>
  <c r="C36" i="2"/>
  <c r="C20" i="2"/>
  <c r="E97" i="2"/>
  <c r="C83" i="2"/>
  <c r="C67" i="2"/>
  <c r="C51" i="2"/>
  <c r="C35" i="2"/>
  <c r="C19" i="2"/>
  <c r="C81" i="2"/>
  <c r="C65" i="2"/>
  <c r="C49" i="2"/>
  <c r="C33" i="2"/>
  <c r="C17" i="2"/>
  <c r="G4" i="2"/>
  <c r="C96" i="2"/>
  <c r="C80" i="2"/>
  <c r="C64" i="2"/>
  <c r="C48" i="2"/>
  <c r="C32" i="2"/>
  <c r="C16" i="2"/>
  <c r="G3" i="2"/>
  <c r="C10" i="2"/>
  <c r="E4" i="2"/>
  <c r="C9" i="2"/>
  <c r="C8" i="2"/>
  <c r="C7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G2" i="2" l="1"/>
  <c r="O7" i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<sst xmlns="http://schemas.openxmlformats.org/spreadsheetml/2006/main" count="51" uniqueCount="41">
  <si>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</si>
  <si>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</si>
  <si>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</si>
  <si>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</si>
  <si>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</si>
  <si>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</si>
  <si>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</si>
  <si>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</si>
  <si>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</si>
  <si>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</si>
  <si>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</si>
  <si>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</si>
  <si>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</si>
  <si>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</si>
  <si>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</si>
  <si>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</si>
  <si>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</si>
  <si>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</si>
  <si>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</si>
  <si>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</si>
  <si>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</si>
  <si>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</si>
  <si>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</si>
  <si>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</si>
  <si>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</si>
  <si>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T</t>
  </si>
  <si>
    <t>Time ratios (t/Tp)</t>
  </si>
  <si>
    <t>Discharge ratios (q/qp)</t>
  </si>
  <si>
    <t>Mass curve ratios (Qa/Q)</t>
  </si>
  <si>
    <t>Tormenta N°1</t>
  </si>
  <si>
    <t>tiempo (%)</t>
  </si>
  <si>
    <t>Pp (%)</t>
  </si>
  <si>
    <t>Varas Grupo I - 10%</t>
  </si>
  <si>
    <t>Tormenta N°2</t>
  </si>
  <si>
    <t>Varas Grupo II - 10%</t>
  </si>
  <si>
    <t>Tormenta N°3</t>
  </si>
  <si>
    <t>Varas Grupo III - 10%</t>
  </si>
  <si>
    <t>Tormenta N°4</t>
  </si>
  <si>
    <t>SCS - Tipo I</t>
  </si>
  <si>
    <t>Tormenta N°5</t>
  </si>
  <si>
    <t>SCS - Tipo 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</si>
</sst>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9" fontId="0" fillId="0" borderId="0" xfId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287655</xdr:colOff>
      <xdr:row>0</xdr:row>
      <xdr:rowOff>380999</xdr:rowOff>
    </xdr:from>
    <xdr:to>
      <xdr:col>23</xdr:col>
      <xdr:colOff>59055</xdr:colOff>
      <xdr:row>10</xdr:row>
      <xdr:rowOff>76199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5889605" y="380999"/>
          <a:ext cx="2819400" cy="2028825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aprox).</a:t>
          </a:r>
          <a:br>
            <a:rPr lang="en-US" sz="1100" b="1" baseline="0">
              <a:solidFill>
                <a:srgbClr val="FF0000"/>
              </a:solidFill>
            </a:rPr>
          </a:br>
          <a:br>
            <a:rPr lang="en-US" sz="1100" b="1" baseline="0">
              <a:solidFill>
                <a:srgbClr val="FF0000"/>
              </a:solidFill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valor de tiempo de concentración adoptado,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detener el código y enviar mensaje de alerta. Si se ingresa un valor inferior a 10 minutos, enviar un mensaje de alerta y preguntar si se quiere continuar con este valor.</a:t>
          </a:r>
          <a:br>
            <a:rPr lang="en-US" sz="1100" b="1" baseline="0">
              <a:solidFill>
                <a:srgbClr val="FF0000"/>
              </a:solidFill>
            </a:rPr>
          </a:b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11430</xdr:colOff>
      <xdr:row>5</xdr:row>
      <xdr:rowOff>129540</xdr:rowOff>
    </xdr:from>
    <xdr:to>
      <xdr:col>15</xdr:col>
      <xdr:colOff>15240</xdr:colOff>
      <xdr:row>8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3548CE5-F1D6-48C7-A32F-E341AF0F50C6}"/>
            </a:ext>
          </a:extLst>
        </xdr:cNvPr>
        <xdr:cNvSpPr txBox="1"/>
      </xdr:nvSpPr>
      <xdr:spPr>
        <a:xfrm>
          <a:off x="6831330" y="1558290"/>
          <a:ext cx="4347210" cy="57531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 delta D adoptado, detener el codigo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0</xdr:colOff>
      <xdr:row>1</xdr:row>
      <xdr:rowOff>0</xdr:rowOff>
    </xdr:from>
    <xdr:to>
      <xdr:col>15</xdr:col>
      <xdr:colOff>9525</xdr:colOff>
      <xdr:row>4</xdr:row>
      <xdr:rowOff>26670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B0B733-C4CE-472E-8143-82D4BFF38A7B}"/>
            </a:ext>
          </a:extLst>
        </xdr:cNvPr>
        <xdr:cNvSpPr txBox="1"/>
      </xdr:nvSpPr>
      <xdr:spPr>
        <a:xfrm>
          <a:off x="6819900" y="704850"/>
          <a:ext cx="4352925" cy="569595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 rellenar el valor de ∆D adoptado en horas. Se recomienda que el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valor en minutos sea divisor de 60.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80010</xdr:colOff>
      <xdr:row>9</xdr:row>
      <xdr:rowOff>100966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F2CA157-3F7A-43EF-8EDF-97ABE37DB274}"/>
            </a:ext>
          </a:extLst>
        </xdr:cNvPr>
        <xdr:cNvSpPr txBox="1"/>
      </xdr:nvSpPr>
      <xdr:spPr>
        <a:xfrm>
          <a:off x="2438400" y="180975"/>
          <a:ext cx="4347210" cy="154876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agregar las precipitaciones máximas en 24 horas para los períodos de retorno que se quieren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todas las precipitaciones máximas en 24 horas que se ingresen.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ninguna Pp Max, detener el codigo y enviar mensaje de alerta.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0</xdr:colOff>
      <xdr:row>1</xdr:row>
      <xdr:rowOff>0</xdr:rowOff>
    </xdr:from>
    <xdr:to>
      <xdr:col>19</xdr:col>
      <xdr:colOff>81915</xdr:colOff>
      <xdr:row>9</xdr:row>
      <xdr:rowOff>97156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ACE1258-6722-4F98-9FA6-6BA08DCA017C}"/>
            </a:ext>
          </a:extLst>
        </xdr:cNvPr>
        <xdr:cNvSpPr txBox="1"/>
      </xdr:nvSpPr>
      <xdr:spPr>
        <a:xfrm>
          <a:off x="7315200" y="180975"/>
          <a:ext cx="4349115" cy="154495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Nota para el codigo:</a:t>
          </a:r>
          <a:b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Preguntar a copilot si habría problemas con que en "T" se rellenen dos períodos de retorno iguales, o si habría problemas con poner un string acá (como por ejemplo "T=2-CC")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1</xdr:rowOff>
    </xdr:from>
    <xdr:to>
      <xdr:col>9</xdr:col>
      <xdr:colOff>360045</xdr:colOff>
      <xdr:row>10</xdr:row>
      <xdr:rowOff>104776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396E3F5-42EB-4365-86AF-9755E5ED77EE}"/>
            </a:ext>
          </a:extLst>
        </xdr:cNvPr>
        <xdr:cNvSpPr txBox="1"/>
      </xdr:nvSpPr>
      <xdr:spPr>
        <a:xfrm>
          <a:off x="2438400" y="180976"/>
          <a:ext cx="3408045" cy="173355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Agregar solamente los CD correspondientes a las duraciones de tormenta que se van a analizar.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El codigo va a iterar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sobre</a:t>
          </a: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 todos los CD que se ingresen. Calculará todas las distribuciones de tormenta acorde a las duraciones que se quiera evaluar.</a:t>
          </a: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Nota para el codigo: si no se ingresa ningún CD, detener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codigo y enviar mensaje de alerta.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0</xdr:colOff>
      <xdr:row>1</xdr:row>
      <xdr:rowOff>0</xdr:rowOff>
    </xdr:from>
    <xdr:to>
      <xdr:col>17</xdr:col>
      <xdr:colOff>83820</xdr:colOff>
      <xdr:row>9</xdr:row>
      <xdr:rowOff>93346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C2A0A9D-A96A-4588-9008-7CD268890179}"/>
            </a:ext>
          </a:extLst>
        </xdr:cNvPr>
        <xdr:cNvSpPr txBox="1"/>
      </xdr:nvSpPr>
      <xdr:spPr>
        <a:xfrm>
          <a:off x="6096000" y="180975"/>
          <a:ext cx="4351020" cy="154114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Nota para el codigo:</a:t>
          </a:r>
          <a:b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Preguntar a copilot si habría problemas con que en "Horas" se rellenen dos duraciones iguales, o si habría problemas con poner un string o un número que no sea entero (aunque esto ultimo no se si se dé en hidrología).</a:t>
          </a:r>
          <a:br>
            <a:rPr lang="es-CL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220980</xdr:colOff>
      <xdr:row>1</xdr:row>
      <xdr:rowOff>22860</xdr:rowOff>
    </xdr:from>
    <xdr:to>
      <xdr:col>21</xdr:col>
      <xdr:colOff>581025</xdr:colOff>
      <xdr:row>23</xdr:row>
      <xdr:rowOff>120016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08CBEC-EAE8-483C-80E0-E631A1606A52}"/>
            </a:ext>
          </a:extLst>
        </xdr:cNvPr>
        <xdr:cNvSpPr txBox="1"/>
      </xdr:nvSpPr>
      <xdr:spPr>
        <a:xfrm>
          <a:off x="13936980" y="205740"/>
          <a:ext cx="3408045" cy="4120516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CL" sz="1100" b="1">
              <a:solidFill>
                <a:srgbClr val="FF0000"/>
              </a:solidFill>
              <a:latin typeface="+mn-lt"/>
              <a:ea typeface="+mn-ea"/>
              <a:cs typeface="+mn-cs"/>
            </a:rPr>
            <a:t>En esta pestaña se deben ingresar las distribuciones de tormenta que se analizarán,</a:t>
          </a: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 el código va a iterar sobre todas las distribuciones ingresadas.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Cada distribución de tormenta debe contener: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Título en la fila 1, en la celda a continuación de "Tormenta N°X".</a:t>
          </a:r>
          <a:b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</a:br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Primera columna con el tiempo en porcentaje, con valores de 0 a 100% (se debe incluir el simbolo "%"). Estos datos se rellenan a partir de la fila 3.</a:t>
          </a: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- Segunda columna con el porcentaje acumulado (no parcial) de precipitación caída, con valores de 0 a 100% (se debe incluir el símbolo "%"). Estos datos se rellenan a partir de la fila 3.</a:t>
          </a:r>
        </a:p>
        <a:p>
          <a:pPr marL="0" indent="0"/>
          <a:endParaRPr lang="es-CL" sz="1100" b="1" baseline="0">
            <a:solidFill>
              <a:srgbClr val="FF0000"/>
            </a:solidFill>
            <a:latin typeface="+mn-lt"/>
            <a:ea typeface="+mn-ea"/>
            <a:cs typeface="+mn-cs"/>
          </a:endParaRPr>
        </a:p>
        <a:p>
          <a:pPr marL="0" indent="0"/>
          <a:r>
            <a:rPr lang="es-CL" sz="1100" b="1" baseline="0">
              <a:solidFill>
                <a:srgbClr val="FF0000"/>
              </a:solidFill>
              <a:latin typeface="+mn-lt"/>
              <a:ea typeface="+mn-ea"/>
              <a:cs typeface="+mn-cs"/>
            </a:rPr>
            <a:t>La primera distribución ingresada debe estar en las columnas A y B. La segunda fila esta reservada para indicar los nombres de las columnas (tiempo (%) y Pp (%), respectivamente). Cada distribución ingresada debe estar separada con una columna en blanco, por lo que la siguiente debe estar ingresada en las columnas </a:t>
          </a:r>
          <a:endParaRPr lang="es-CL" sz="1100" b="1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topLeftCell="C1" workbookViewId="0">
      <selection activeCell="N19" sqref="N19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J100"/>
  <sheetViews>
    <sheetView workbookViewId="0">
      <selection activeCell="K13" sqref="K13"/>
    </sheetView>
  </sheetViews>
  <sheetFormatPr defaultRowHeight="14.4" x14ac:dyDescent="0.3"/>
  <cols>
    <col min="1" max="1" width="14.6640625" customWidth="1"/>
    <col min="2" max="7" width="12.6640625" customWidth="1"/>
    <col min="14" max="14" width="10" bestFit="1" customWidth="1"/>
    <col min="17" max="17" width="11" bestFit="1" customWidth="1"/>
  </cols>
  <sheetData>
    <row r="1" spans="1:10" ht="55.2" customHeight="1" x14ac:dyDescent="0.3">
      <c r="A1" s="7" t="s">
        <v>0</v>
      </c>
      <c r="B1" s="8" t="s">
        <v>1</v>
      </c>
      <c r="C1" s="8" t="s">
        <v>19</v>
      </c>
      <c r="D1" s="8" t="s">
        <v>20</v>
      </c>
      <c r="E1" s="2" t="s">
        <v>21</v>
      </c>
      <c r="F1" s="2" t="s">
        <v>22</v>
      </c>
      <c r="G1" s="2" t="s">
        <v>23</v>
      </c>
    </row>
    <row r="2" spans="1:10" x14ac:dyDescent="0.3">
      <c r="A2" t="str">
        <f>IF(ISBLANK('Info Cuencas'!A2),"",'Info Cuencas'!A2)</f>
        <v>C_01_CL</v>
      </c>
      <c r="B2" s="4">
        <f>IF(A2="","",'Info Cuencas'!B2)</f>
        <v>117.271</v>
      </c>
      <c r="C2" s="6">
        <f>IF(A2="","",0.133*'Info Cuencas'!R2)</f>
        <v>0.76073282726013913</v>
      </c>
      <c r="D2" s="11">
        <v>0.05</v>
      </c>
      <c r="E2" s="6">
        <f>IF(A2="","",0.6*'Info Cuencas'!R2+HUS!D2/2)</f>
        <v>3.4568774162111535</v>
      </c>
      <c r="F2" s="6">
        <f>IF(A2="","",5*E2)</f>
        <v>17.284387081055769</v>
      </c>
      <c r="G2" s="6">
        <f>IF(A2="","",0.208*'Info Cuencas'!B2/HUS!E2)</f>
        <v>7.0561854133476336</v>
      </c>
      <c r="H2" s="6"/>
      <c r="J2" s="5"/>
    </row>
    <row r="3" spans="1:10" x14ac:dyDescent="0.3">
      <c r="A3" t="str">
        <f>IF(ISBLANK('Info Cuencas'!A3),"",'Info Cuencas'!A3)</f>
        <v>C_02_CL</v>
      </c>
      <c r="B3" s="4">
        <f>IF(A3="","",'Info Cuencas'!B3)</f>
        <v>447.74</v>
      </c>
      <c r="C3" s="6">
        <f>IF(A3="","",0.133*'Info Cuencas'!R3)</f>
        <v>1.0943707430089464</v>
      </c>
      <c r="D3" s="11">
        <v>0.05</v>
      </c>
      <c r="E3" s="6">
        <f>IF(A3="","",0.6*'Info Cuencas'!R3+HUS!D3/2)</f>
        <v>4.9620108707170507</v>
      </c>
      <c r="F3" s="6">
        <f>IF(A3="","",5*E3)</f>
        <v>24.810054353585254</v>
      </c>
      <c r="G3" s="6">
        <f>IF(A3="","",0.208*'Info Cuencas'!B3/HUS!E3)</f>
        <v>18.768584436120346</v>
      </c>
      <c r="H3" s="6"/>
    </row>
    <row r="4" spans="1:10" x14ac:dyDescent="0.3">
      <c r="A4" t="str">
        <f>IF(ISBLANK('Info Cuencas'!A4),"",'Info Cuencas'!A4)</f>
        <v/>
      </c>
      <c r="B4" s="4" t="str">
        <f>IF(A4="","",'Info Cuencas'!B4)</f>
        <v/>
      </c>
      <c r="C4" s="6" t="str">
        <f>IF(A4="","",0.133*'Info Cuencas'!R4)</f>
        <v/>
      </c>
      <c r="D4" s="9"/>
      <c r="E4" s="6" t="str">
        <f>IF(A4="","",0.6*'Info Cuencas'!R4+HUS!D4/2)</f>
        <v/>
      </c>
      <c r="F4" s="6" t="str">
        <f t="shared" ref="F4" si="0">IF(A4="","",5*E4)</f>
        <v/>
      </c>
      <c r="G4" s="6" t="str">
        <f>IF(A4="","",0.208*'Info Cuencas'!B4/HUS!E4)</f>
        <v/>
      </c>
      <c r="H4" s="6"/>
    </row>
    <row r="5" spans="1:10" x14ac:dyDescent="0.3">
      <c r="A5" t="str">
        <f>IF(ISBLANK('Info Cuencas'!A5),"",'Info Cuencas'!A5)</f>
        <v/>
      </c>
      <c r="B5" s="4" t="str">
        <f>IF(A5="","",'Info Cuencas'!B5)</f>
        <v/>
      </c>
      <c r="C5" s="6" t="str">
        <f>IF(A5="","",0.133*'Info Cuencas'!R5)</f>
        <v/>
      </c>
      <c r="D5" s="9"/>
      <c r="E5" s="6" t="str">
        <f>IF(A5="","",0.6*'Info Cuencas'!R5+HUS!D5/2)</f>
        <v/>
      </c>
      <c r="F5" s="6" t="str">
        <f>IF(A5="","",5*E5)</f>
        <v/>
      </c>
      <c r="G5" s="6" t="str">
        <f>IF(A5="","",0.208*'Info Cuencas'!B5/HUS!E5)</f>
        <v/>
      </c>
      <c r="H5" s="6"/>
    </row>
    <row r="6" spans="1:10" x14ac:dyDescent="0.3">
      <c r="A6" t="str">
        <f>IF(ISBLANK('Info Cuencas'!A6),"",'Info Cuencas'!A6)</f>
        <v/>
      </c>
      <c r="B6" s="4" t="str">
        <f>IF(A6="","",'Info Cuencas'!B6)</f>
        <v/>
      </c>
      <c r="C6" s="6" t="str">
        <f>IF(A6="","",0.133*'Info Cuencas'!R6)</f>
        <v/>
      </c>
      <c r="D6" s="9"/>
      <c r="E6" s="6" t="str">
        <f>IF(A6="","",0.6*'Info Cuencas'!R6+HUS!D6/2)</f>
        <v/>
      </c>
      <c r="F6" s="6" t="str">
        <f t="shared" ref="F6:F11" si="1">IF(A6="","",5*E6)</f>
        <v/>
      </c>
      <c r="G6" s="6" t="str">
        <f>IF(A6="","",0.208*'Info Cuencas'!B6/HUS!E6)</f>
        <v/>
      </c>
      <c r="H6" s="6"/>
    </row>
    <row r="7" spans="1:10" x14ac:dyDescent="0.3">
      <c r="A7" t="str">
        <f>IF(ISBLANK('Info Cuencas'!A7),"",'Info Cuencas'!A7)</f>
        <v/>
      </c>
      <c r="B7" s="4" t="str">
        <f>IF(A7="","",'Info Cuencas'!B7)</f>
        <v/>
      </c>
      <c r="C7" s="6" t="str">
        <f>IF(A7="","",0.133*'Info Cuencas'!R7)</f>
        <v/>
      </c>
      <c r="D7" s="9"/>
      <c r="E7" s="6" t="str">
        <f>IF(A7="","",0.6*'Info Cuencas'!R7+HUS!D7/2)</f>
        <v/>
      </c>
      <c r="F7" s="6" t="str">
        <f t="shared" si="1"/>
        <v/>
      </c>
      <c r="G7" s="6" t="str">
        <f>IF(A7="","",0.208*'Info Cuencas'!B7/HUS!E7)</f>
        <v/>
      </c>
      <c r="H7" s="6"/>
    </row>
    <row r="8" spans="1:10" x14ac:dyDescent="0.3">
      <c r="A8" t="str">
        <f>IF(ISBLANK('Info Cuencas'!A8),"",'Info Cuencas'!A8)</f>
        <v/>
      </c>
      <c r="B8" s="4" t="str">
        <f>IF(A8="","",'Info Cuencas'!B8)</f>
        <v/>
      </c>
      <c r="C8" s="6" t="str">
        <f>IF(A8="","",0.133*'Info Cuencas'!R8)</f>
        <v/>
      </c>
      <c r="D8" s="9"/>
      <c r="E8" s="6" t="str">
        <f>IF(A8="","",0.6*'Info Cuencas'!R8+HUS!D8/2)</f>
        <v/>
      </c>
      <c r="F8" s="6" t="str">
        <f>IF(A8="","",5*E8)</f>
        <v/>
      </c>
      <c r="G8" s="6" t="str">
        <f>IF(A8="","",0.208*'Info Cuencas'!B8/HUS!E8)</f>
        <v/>
      </c>
      <c r="H8" s="6"/>
    </row>
    <row r="9" spans="1:10" x14ac:dyDescent="0.3">
      <c r="A9" t="str">
        <f>IF(ISBLANK('Info Cuencas'!A9),"",'Info Cuencas'!A9)</f>
        <v/>
      </c>
      <c r="B9" s="4" t="str">
        <f>IF(A9="","",'Info Cuencas'!B9)</f>
        <v/>
      </c>
      <c r="C9" s="6" t="str">
        <f>IF(A9="","",0.133*'Info Cuencas'!R9)</f>
        <v/>
      </c>
      <c r="D9" s="9"/>
      <c r="E9" s="6" t="str">
        <f>IF(A9="","",0.6*'Info Cuencas'!R9+HUS!D9/2)</f>
        <v/>
      </c>
      <c r="F9" s="6" t="str">
        <f t="shared" si="1"/>
        <v/>
      </c>
      <c r="G9" s="6" t="str">
        <f>IF(A9="","",0.208*'Info Cuencas'!B9/HUS!E9)</f>
        <v/>
      </c>
      <c r="H9" s="6"/>
    </row>
    <row r="10" spans="1:10" x14ac:dyDescent="0.3">
      <c r="A10" t="str">
        <f>IF(ISBLANK('Info Cuencas'!A10),"",'Info Cuencas'!A10)</f>
        <v/>
      </c>
      <c r="B10" s="4" t="str">
        <f>IF(A10="","",'Info Cuencas'!B10)</f>
        <v/>
      </c>
      <c r="C10" s="6" t="str">
        <f>IF(A10="","",0.133*'Info Cuencas'!R10)</f>
        <v/>
      </c>
      <c r="D10" s="9"/>
      <c r="E10" s="6" t="str">
        <f>IF(A10="","",0.6*'Info Cuencas'!R10+HUS!D10/2)</f>
        <v/>
      </c>
      <c r="F10" s="6" t="str">
        <f t="shared" si="1"/>
        <v/>
      </c>
      <c r="G10" s="6" t="str">
        <f>IF(A10="","",0.208*'Info Cuencas'!B10/HUS!E10)</f>
        <v/>
      </c>
      <c r="H10" s="6"/>
    </row>
    <row r="11" spans="1:10" x14ac:dyDescent="0.3">
      <c r="A11" t="str">
        <f>IF(ISBLANK('Info Cuencas'!A11),"",'Info Cuencas'!A11)</f>
        <v/>
      </c>
      <c r="B11" s="4" t="str">
        <f>IF(A11="","",'Info Cuencas'!B11)</f>
        <v/>
      </c>
      <c r="C11" s="6" t="str">
        <f>IF(A11="","",0.133*'Info Cuencas'!R11)</f>
        <v/>
      </c>
      <c r="D11" s="9"/>
      <c r="E11" s="6" t="str">
        <f>IF(A11="","",0.6*'Info Cuencas'!R11+HUS!D11/2)</f>
        <v/>
      </c>
      <c r="F11" s="6" t="str">
        <f t="shared" si="1"/>
        <v/>
      </c>
      <c r="G11" s="6" t="str">
        <f>IF(A11="","",0.208*'Info Cuencas'!B11/HUS!E11)</f>
        <v/>
      </c>
      <c r="H11" s="6"/>
    </row>
    <row r="12" spans="1:10" x14ac:dyDescent="0.3">
      <c r="A12" t="str">
        <f>IF(ISBLANK('Info Cuencas'!A12),"",'Info Cuencas'!A12)</f>
        <v/>
      </c>
      <c r="B12" s="4" t="str">
        <f>IF(A12="","",'Info Cuencas'!B12)</f>
        <v/>
      </c>
      <c r="C12" t="str">
        <f>IF(A12="","",0.133*'Info Cuencas'!R12)</f>
        <v/>
      </c>
      <c r="D12" s="9"/>
      <c r="E12" s="6" t="str">
        <f>IF(A12="","",0.6*'Info Cuencas'!R12+HUS!D12/2)</f>
        <v/>
      </c>
    </row>
    <row r="13" spans="1:10" x14ac:dyDescent="0.3">
      <c r="A13" t="str">
        <f>IF(ISBLANK('Info Cuencas'!A13),"",'Info Cuencas'!A13)</f>
        <v/>
      </c>
      <c r="B13" s="4" t="str">
        <f>IF(A13="","",'Info Cuencas'!B13)</f>
        <v/>
      </c>
      <c r="C13" t="str">
        <f>IF(A13="","",0.133*'Info Cuencas'!R13)</f>
        <v/>
      </c>
      <c r="D13" s="9"/>
      <c r="E13" s="6" t="str">
        <f>IF(A13="","",0.6*'Info Cuencas'!R13+HUS!D13/2)</f>
        <v/>
      </c>
    </row>
    <row r="14" spans="1:10" x14ac:dyDescent="0.3">
      <c r="A14" t="str">
        <f>IF(ISBLANK('Info Cuencas'!A14),"",'Info Cuencas'!A14)</f>
        <v/>
      </c>
      <c r="B14" s="4" t="str">
        <f>IF(A14="","",'Info Cuencas'!B14)</f>
        <v/>
      </c>
      <c r="C14" t="str">
        <f>IF(A14="","",0.133*'Info Cuencas'!R14)</f>
        <v/>
      </c>
      <c r="D14" s="9"/>
      <c r="E14" s="6" t="str">
        <f>IF(A14="","",0.6*'Info Cuencas'!R14+HUS!D14/2)</f>
        <v/>
      </c>
    </row>
    <row r="15" spans="1:10" x14ac:dyDescent="0.3">
      <c r="A15" t="str">
        <f>IF(ISBLANK('Info Cuencas'!A15),"",'Info Cuencas'!A15)</f>
        <v/>
      </c>
      <c r="B15" s="4" t="str">
        <f>IF(A15="","",'Info Cuencas'!B15)</f>
        <v/>
      </c>
      <c r="C15" t="str">
        <f>IF(A15="","",0.133*'Info Cuencas'!R15)</f>
        <v/>
      </c>
      <c r="E15" s="6" t="str">
        <f>IF(A15="","",0.6*'Info Cuencas'!R15+HUS!D15/2)</f>
        <v/>
      </c>
    </row>
    <row r="16" spans="1:10" x14ac:dyDescent="0.3">
      <c r="A16" t="str">
        <f>IF(ISBLANK('Info Cuencas'!A16),"",'Info Cuencas'!A16)</f>
        <v/>
      </c>
      <c r="B16" s="4" t="str">
        <f>IF(A16="","",'Info Cuencas'!B16)</f>
        <v/>
      </c>
      <c r="C16" t="str">
        <f>IF(A16="","",0.133*'Info Cuencas'!R16)</f>
        <v/>
      </c>
      <c r="E16" s="6" t="str">
        <f>IF(A16="","",0.6*'Info Cuencas'!R16+HUS!D16/2)</f>
        <v/>
      </c>
    </row>
    <row r="17" spans="1:5" x14ac:dyDescent="0.3">
      <c r="A17" t="str">
        <f>IF(ISBLANK('Info Cuencas'!A17),"",'Info Cuencas'!A17)</f>
        <v/>
      </c>
      <c r="B17" s="4" t="str">
        <f>IF(A17="","",'Info Cuencas'!B17)</f>
        <v/>
      </c>
      <c r="C17" t="str">
        <f>IF(A17="","",0.133*'Info Cuencas'!R17)</f>
        <v/>
      </c>
      <c r="E17" s="6" t="str">
        <f>IF(A17="","",0.6*'Info Cuencas'!R17+HUS!D17/2)</f>
        <v/>
      </c>
    </row>
    <row r="18" spans="1:5" x14ac:dyDescent="0.3">
      <c r="A18" t="str">
        <f>IF(ISBLANK('Info Cuencas'!A18),"",'Info Cuencas'!A18)</f>
        <v/>
      </c>
      <c r="B18" s="4" t="str">
        <f>IF(A18="","",'Info Cuencas'!B18)</f>
        <v/>
      </c>
      <c r="C18" t="str">
        <f>IF(A18="","",0.133*'Info Cuencas'!R18)</f>
        <v/>
      </c>
      <c r="E18" s="6" t="str">
        <f>IF(A18="","",0.6*'Info Cuencas'!R18+HUS!D18/2)</f>
        <v/>
      </c>
    </row>
    <row r="19" spans="1:5" x14ac:dyDescent="0.3">
      <c r="A19" t="str">
        <f>IF(ISBLANK('Info Cuencas'!A19),"",'Info Cuencas'!A19)</f>
        <v/>
      </c>
      <c r="B19" s="4" t="str">
        <f>IF(A19="","",'Info Cuencas'!B19)</f>
        <v/>
      </c>
      <c r="C19" t="str">
        <f>IF(A19="","",0.133*'Info Cuencas'!R19)</f>
        <v/>
      </c>
      <c r="E19" s="6" t="str">
        <f>IF(A19="","",0.6*'Info Cuencas'!R19+HUS!D19/2)</f>
        <v/>
      </c>
    </row>
    <row r="20" spans="1:5" x14ac:dyDescent="0.3">
      <c r="A20" t="str">
        <f>IF(ISBLANK('Info Cuencas'!A20),"",'Info Cuencas'!A20)</f>
        <v/>
      </c>
      <c r="B20" s="4" t="str">
        <f>IF(A20="","",'Info Cuencas'!B20)</f>
        <v/>
      </c>
      <c r="C20" t="str">
        <f>IF(A20="","",0.133*'Info Cuencas'!R20)</f>
        <v/>
      </c>
      <c r="E20" s="6" t="str">
        <f>IF(A20="","",0.6*'Info Cuencas'!R20+HUS!D20/2)</f>
        <v/>
      </c>
    </row>
    <row r="21" spans="1:5" x14ac:dyDescent="0.3">
      <c r="A21" t="str">
        <f>IF(ISBLANK('Info Cuencas'!A21),"",'Info Cuencas'!A21)</f>
        <v/>
      </c>
      <c r="B21" s="4" t="str">
        <f>IF(A21="","",'Info Cuencas'!B21)</f>
        <v/>
      </c>
      <c r="C21" t="str">
        <f>IF(A21="","",0.133*'Info Cuencas'!R21)</f>
        <v/>
      </c>
      <c r="E21" s="6" t="str">
        <f>IF(A21="","",0.6*'Info Cuencas'!R21+HUS!D21/2)</f>
        <v/>
      </c>
    </row>
    <row r="22" spans="1:5" x14ac:dyDescent="0.3">
      <c r="A22" t="str">
        <f>IF(ISBLANK('Info Cuencas'!A22),"",'Info Cuencas'!A22)</f>
        <v/>
      </c>
      <c r="B22" s="4" t="str">
        <f>IF(A22="","",'Info Cuencas'!B22)</f>
        <v/>
      </c>
      <c r="C22" t="str">
        <f>IF(A22="","",0.133*'Info Cuencas'!R22)</f>
        <v/>
      </c>
      <c r="E22" s="6" t="str">
        <f>IF(A22="","",0.6*'Info Cuencas'!R22+HUS!D22/2)</f>
        <v/>
      </c>
    </row>
    <row r="23" spans="1:5" x14ac:dyDescent="0.3">
      <c r="A23" t="str">
        <f>IF(ISBLANK('Info Cuencas'!A23),"",'Info Cuencas'!A23)</f>
        <v/>
      </c>
      <c r="B23" s="4" t="str">
        <f>IF(A23="","",'Info Cuencas'!B23)</f>
        <v/>
      </c>
      <c r="C23" t="str">
        <f>IF(A23="","",0.133*'Info Cuencas'!R23)</f>
        <v/>
      </c>
      <c r="E23" s="6" t="str">
        <f>IF(A23="","",0.6*'Info Cuencas'!R23+HUS!D23/2)</f>
        <v/>
      </c>
    </row>
    <row r="24" spans="1:5" x14ac:dyDescent="0.3">
      <c r="A24" t="str">
        <f>IF(ISBLANK('Info Cuencas'!A24),"",'Info Cuencas'!A24)</f>
        <v/>
      </c>
      <c r="B24" s="4" t="str">
        <f>IF(A24="","",'Info Cuencas'!B24)</f>
        <v/>
      </c>
      <c r="C24" t="str">
        <f>IF(A24="","",0.133*'Info Cuencas'!R24)</f>
        <v/>
      </c>
      <c r="E24" s="6" t="str">
        <f>IF(A24="","",0.6*'Info Cuencas'!R24+HUS!D24/2)</f>
        <v/>
      </c>
    </row>
    <row r="25" spans="1:5" x14ac:dyDescent="0.3">
      <c r="A25" t="str">
        <f>IF(ISBLANK('Info Cuencas'!A25),"",'Info Cuencas'!A25)</f>
        <v/>
      </c>
      <c r="B25" s="4" t="str">
        <f>IF(A25="","",'Info Cuencas'!B25)</f>
        <v/>
      </c>
      <c r="C25" t="str">
        <f>IF(A25="","",0.133*'Info Cuencas'!R25)</f>
        <v/>
      </c>
      <c r="E25" s="6" t="str">
        <f>IF(A25="","",0.6*'Info Cuencas'!R25+HUS!D25/2)</f>
        <v/>
      </c>
    </row>
    <row r="26" spans="1:5" x14ac:dyDescent="0.3">
      <c r="A26" t="str">
        <f>IF(ISBLANK('Info Cuencas'!A26),"",'Info Cuencas'!A26)</f>
        <v/>
      </c>
      <c r="B26" s="4" t="str">
        <f>IF(A26="","",'Info Cuencas'!B26)</f>
        <v/>
      </c>
      <c r="C26" t="str">
        <f>IF(A26="","",0.133*'Info Cuencas'!R26)</f>
        <v/>
      </c>
      <c r="E26" s="6" t="str">
        <f>IF(A26="","",0.6*'Info Cuencas'!R26+HUS!D26/2)</f>
        <v/>
      </c>
    </row>
    <row r="27" spans="1:5" x14ac:dyDescent="0.3">
      <c r="A27" t="str">
        <f>IF(ISBLANK('Info Cuencas'!A27),"",'Info Cuencas'!A27)</f>
        <v/>
      </c>
      <c r="B27" s="4" t="str">
        <f>IF(A27="","",'Info Cuencas'!B27)</f>
        <v/>
      </c>
      <c r="C27" t="str">
        <f>IF(A27="","",0.133*'Info Cuencas'!R27)</f>
        <v/>
      </c>
      <c r="E27" s="6" t="str">
        <f>IF(A27="","",0.6*'Info Cuencas'!R27+HUS!D27/2)</f>
        <v/>
      </c>
    </row>
    <row r="28" spans="1:5" x14ac:dyDescent="0.3">
      <c r="A28" t="str">
        <f>IF(ISBLANK('Info Cuencas'!A28),"",'Info Cuencas'!A28)</f>
        <v/>
      </c>
      <c r="B28" s="4" t="str">
        <f>IF(A28="","",'Info Cuencas'!B28)</f>
        <v/>
      </c>
      <c r="C28" t="str">
        <f>IF(A28="","",0.133*'Info Cuencas'!R28)</f>
        <v/>
      </c>
      <c r="E28" s="6" t="str">
        <f>IF(A28="","",0.6*'Info Cuencas'!R28+HUS!D28/2)</f>
        <v/>
      </c>
    </row>
    <row r="29" spans="1:5" x14ac:dyDescent="0.3">
      <c r="A29" t="str">
        <f>IF(ISBLANK('Info Cuencas'!A29),"",'Info Cuencas'!A29)</f>
        <v/>
      </c>
      <c r="B29" s="4" t="str">
        <f>IF(A29="","",'Info Cuencas'!B29)</f>
        <v/>
      </c>
      <c r="C29" t="str">
        <f>IF(A29="","",0.133*'Info Cuencas'!R29)</f>
        <v/>
      </c>
      <c r="E29" s="6" t="str">
        <f>IF(A29="","",0.6*'Info Cuencas'!R29+HUS!D29/2)</f>
        <v/>
      </c>
    </row>
    <row r="30" spans="1:5" x14ac:dyDescent="0.3">
      <c r="A30" t="str">
        <f>IF(ISBLANK('Info Cuencas'!A30),"",'Info Cuencas'!A30)</f>
        <v/>
      </c>
      <c r="B30" s="4" t="str">
        <f>IF(A30="","",'Info Cuencas'!B30)</f>
        <v/>
      </c>
      <c r="C30" t="str">
        <f>IF(A30="","",0.133*'Info Cuencas'!R30)</f>
        <v/>
      </c>
      <c r="E30" s="6" t="str">
        <f>IF(A30="","",0.6*'Info Cuencas'!R30+HUS!D30/2)</f>
        <v/>
      </c>
    </row>
    <row r="31" spans="1:5" x14ac:dyDescent="0.3">
      <c r="A31" t="str">
        <f>IF(ISBLANK('Info Cuencas'!A31),"",'Info Cuencas'!A31)</f>
        <v/>
      </c>
      <c r="B31" s="4" t="str">
        <f>IF(A31="","",'Info Cuencas'!B31)</f>
        <v/>
      </c>
      <c r="C31" t="str">
        <f>IF(A31="","",0.133*'Info Cuencas'!R31)</f>
        <v/>
      </c>
      <c r="E31" s="6" t="str">
        <f>IF(A31="","",0.6*'Info Cuencas'!R31+HUS!D31/2)</f>
        <v/>
      </c>
    </row>
    <row r="32" spans="1:5" x14ac:dyDescent="0.3">
      <c r="A32" t="str">
        <f>IF(ISBLANK('Info Cuencas'!A32),"",'Info Cuencas'!A32)</f>
        <v/>
      </c>
      <c r="B32" s="4" t="str">
        <f>IF(A32="","",'Info Cuencas'!B32)</f>
        <v/>
      </c>
      <c r="C32" t="str">
        <f>IF(A32="","",0.133*'Info Cuencas'!R32)</f>
        <v/>
      </c>
      <c r="E32" s="6" t="str">
        <f>IF(A32="","",0.6*'Info Cuencas'!R32+HUS!D32/2)</f>
        <v/>
      </c>
    </row>
    <row r="33" spans="1:5" x14ac:dyDescent="0.3">
      <c r="A33" t="str">
        <f>IF(ISBLANK('Info Cuencas'!A33),"",'Info Cuencas'!A33)</f>
        <v/>
      </c>
      <c r="B33" s="4" t="str">
        <f>IF(A33="","",'Info Cuencas'!B33)</f>
        <v/>
      </c>
      <c r="C33" t="str">
        <f>IF(A33="","",0.133*'Info Cuencas'!R33)</f>
        <v/>
      </c>
      <c r="E33" s="6" t="str">
        <f>IF(A33="","",0.6*'Info Cuencas'!R33+HUS!D33/2)</f>
        <v/>
      </c>
    </row>
    <row r="34" spans="1:5" x14ac:dyDescent="0.3">
      <c r="A34" t="str">
        <f>IF(ISBLANK('Info Cuencas'!A34),"",'Info Cuencas'!A34)</f>
        <v/>
      </c>
      <c r="B34" s="4" t="str">
        <f>IF(A34="","",'Info Cuencas'!B34)</f>
        <v/>
      </c>
      <c r="C34" t="str">
        <f>IF(A34="","",0.133*'Info Cuencas'!R34)</f>
        <v/>
      </c>
      <c r="E34" s="6" t="str">
        <f>IF(A34="","",0.6*'Info Cuencas'!R34+HUS!D34/2)</f>
        <v/>
      </c>
    </row>
    <row r="35" spans="1:5" x14ac:dyDescent="0.3">
      <c r="A35" t="str">
        <f>IF(ISBLANK('Info Cuencas'!A35),"",'Info Cuencas'!A35)</f>
        <v/>
      </c>
      <c r="B35" s="4" t="str">
        <f>IF(A35="","",'Info Cuencas'!B35)</f>
        <v/>
      </c>
      <c r="C35" t="str">
        <f>IF(A35="","",0.133*'Info Cuencas'!R35)</f>
        <v/>
      </c>
      <c r="E35" s="6" t="str">
        <f>IF(A35="","",0.6*'Info Cuencas'!R35+HUS!D35/2)</f>
        <v/>
      </c>
    </row>
    <row r="36" spans="1:5" x14ac:dyDescent="0.3">
      <c r="A36" t="str">
        <f>IF(ISBLANK('Info Cuencas'!A36),"",'Info Cuencas'!A36)</f>
        <v/>
      </c>
      <c r="B36" s="4" t="str">
        <f>IF(A36="","",'Info Cuencas'!B36)</f>
        <v/>
      </c>
      <c r="C36" t="str">
        <f>IF(A36="","",0.133*'Info Cuencas'!R36)</f>
        <v/>
      </c>
      <c r="E36" s="6" t="str">
        <f>IF(A36="","",0.6*'Info Cuencas'!R36+HUS!D36/2)</f>
        <v/>
      </c>
    </row>
    <row r="37" spans="1:5" x14ac:dyDescent="0.3">
      <c r="A37" t="str">
        <f>IF(ISBLANK('Info Cuencas'!A37),"",'Info Cuencas'!A37)</f>
        <v/>
      </c>
      <c r="B37" s="4" t="str">
        <f>IF(A37="","",'Info Cuencas'!B37)</f>
        <v/>
      </c>
      <c r="C37" t="str">
        <f>IF(A37="","",0.133*'Info Cuencas'!R37)</f>
        <v/>
      </c>
      <c r="E37" s="6" t="str">
        <f>IF(A37="","",0.6*'Info Cuencas'!R37+HUS!D37/2)</f>
        <v/>
      </c>
    </row>
    <row r="38" spans="1:5" x14ac:dyDescent="0.3">
      <c r="A38" t="str">
        <f>IF(ISBLANK('Info Cuencas'!A38),"",'Info Cuencas'!A38)</f>
        <v/>
      </c>
      <c r="B38" s="4" t="str">
        <f>IF(A38="","",'Info Cuencas'!B38)</f>
        <v/>
      </c>
      <c r="C38" t="str">
        <f>IF(A38="","",0.133*'Info Cuencas'!R38)</f>
        <v/>
      </c>
      <c r="E38" s="6" t="str">
        <f>IF(A38="","",0.6*'Info Cuencas'!R38+HUS!D38/2)</f>
        <v/>
      </c>
    </row>
    <row r="39" spans="1:5" x14ac:dyDescent="0.3">
      <c r="A39" t="str">
        <f>IF(ISBLANK('Info Cuencas'!A39),"",'Info Cuencas'!A39)</f>
        <v/>
      </c>
      <c r="B39" s="4" t="str">
        <f>IF(A39="","",'Info Cuencas'!B39)</f>
        <v/>
      </c>
      <c r="C39" t="str">
        <f>IF(A39="","",0.133*'Info Cuencas'!R39)</f>
        <v/>
      </c>
      <c r="E39" s="6" t="str">
        <f>IF(A39="","",0.6*'Info Cuencas'!R39+HUS!D39/2)</f>
        <v/>
      </c>
    </row>
    <row r="40" spans="1:5" x14ac:dyDescent="0.3">
      <c r="A40" t="str">
        <f>IF(ISBLANK('Info Cuencas'!A40),"",'Info Cuencas'!A40)</f>
        <v/>
      </c>
      <c r="B40" s="4" t="str">
        <f>IF(A40="","",'Info Cuencas'!B40)</f>
        <v/>
      </c>
      <c r="C40" t="str">
        <f>IF(A40="","",0.133*'Info Cuencas'!R40)</f>
        <v/>
      </c>
      <c r="E40" s="6" t="str">
        <f>IF(A40="","",0.6*'Info Cuencas'!R40+HUS!D40/2)</f>
        <v/>
      </c>
    </row>
    <row r="41" spans="1:5" x14ac:dyDescent="0.3">
      <c r="A41" t="str">
        <f>IF(ISBLANK('Info Cuencas'!A41),"",'Info Cuencas'!A41)</f>
        <v/>
      </c>
      <c r="B41" s="4" t="str">
        <f>IF(A41="","",'Info Cuencas'!B41)</f>
        <v/>
      </c>
      <c r="C41" t="str">
        <f>IF(A41="","",0.133*'Info Cuencas'!R41)</f>
        <v/>
      </c>
      <c r="E41" s="6" t="str">
        <f>IF(A41="","",0.6*'Info Cuencas'!R41+HUS!D41/2)</f>
        <v/>
      </c>
    </row>
    <row r="42" spans="1:5" x14ac:dyDescent="0.3">
      <c r="A42" t="str">
        <f>IF(ISBLANK('Info Cuencas'!A42),"",'Info Cuencas'!A42)</f>
        <v/>
      </c>
      <c r="B42" s="4" t="str">
        <f>IF(A42="","",'Info Cuencas'!B42)</f>
        <v/>
      </c>
      <c r="C42" t="str">
        <f>IF(A42="","",0.133*'Info Cuencas'!R42)</f>
        <v/>
      </c>
      <c r="E42" s="6" t="str">
        <f>IF(A42="","",0.6*'Info Cuencas'!R42+HUS!D42/2)</f>
        <v/>
      </c>
    </row>
    <row r="43" spans="1:5" x14ac:dyDescent="0.3">
      <c r="A43" t="str">
        <f>IF(ISBLANK('Info Cuencas'!A43),"",'Info Cuencas'!A43)</f>
        <v/>
      </c>
      <c r="B43" s="4" t="str">
        <f>IF(A43="","",'Info Cuencas'!B43)</f>
        <v/>
      </c>
      <c r="C43" t="str">
        <f>IF(A43="","",0.133*'Info Cuencas'!R43)</f>
        <v/>
      </c>
      <c r="E43" s="6" t="str">
        <f>IF(A43="","",0.6*'Info Cuencas'!R43+HUS!D43/2)</f>
        <v/>
      </c>
    </row>
    <row r="44" spans="1:5" x14ac:dyDescent="0.3">
      <c r="A44" t="str">
        <f>IF(ISBLANK('Info Cuencas'!A44),"",'Info Cuencas'!A44)</f>
        <v/>
      </c>
      <c r="B44" s="4" t="str">
        <f>IF(A44="","",'Info Cuencas'!B44)</f>
        <v/>
      </c>
      <c r="C44" t="str">
        <f>IF(A44="","",0.133*'Info Cuencas'!R44)</f>
        <v/>
      </c>
      <c r="E44" s="6" t="str">
        <f>IF(A44="","",0.6*'Info Cuencas'!R44+HUS!D44/2)</f>
        <v/>
      </c>
    </row>
    <row r="45" spans="1:5" x14ac:dyDescent="0.3">
      <c r="A45" t="str">
        <f>IF(ISBLANK('Info Cuencas'!A45),"",'Info Cuencas'!A45)</f>
        <v/>
      </c>
      <c r="B45" s="4" t="str">
        <f>IF(A45="","",'Info Cuencas'!B45)</f>
        <v/>
      </c>
      <c r="C45" t="str">
        <f>IF(A45="","",0.133*'Info Cuencas'!R45)</f>
        <v/>
      </c>
      <c r="E45" s="6" t="str">
        <f>IF(A45="","",0.6*'Info Cuencas'!R45+HUS!D45/2)</f>
        <v/>
      </c>
    </row>
    <row r="46" spans="1:5" x14ac:dyDescent="0.3">
      <c r="A46" t="str">
        <f>IF(ISBLANK('Info Cuencas'!A46),"",'Info Cuencas'!A46)</f>
        <v/>
      </c>
      <c r="B46" s="4" t="str">
        <f>IF(A46="","",'Info Cuencas'!B46)</f>
        <v/>
      </c>
      <c r="C46" t="str">
        <f>IF(A46="","",0.133*'Info Cuencas'!R46)</f>
        <v/>
      </c>
      <c r="E46" s="6" t="str">
        <f>IF(A46="","",0.6*'Info Cuencas'!R46+HUS!D46/2)</f>
        <v/>
      </c>
    </row>
    <row r="47" spans="1:5" x14ac:dyDescent="0.3">
      <c r="A47" t="str">
        <f>IF(ISBLANK('Info Cuencas'!A47),"",'Info Cuencas'!A47)</f>
        <v/>
      </c>
      <c r="B47" s="4" t="str">
        <f>IF(A47="","",'Info Cuencas'!B47)</f>
        <v/>
      </c>
      <c r="C47" t="str">
        <f>IF(A47="","",0.133*'Info Cuencas'!R47)</f>
        <v/>
      </c>
      <c r="E47" s="6" t="str">
        <f>IF(A47="","",0.6*'Info Cuencas'!R47+HUS!D47/2)</f>
        <v/>
      </c>
    </row>
    <row r="48" spans="1:5" x14ac:dyDescent="0.3">
      <c r="A48" t="str">
        <f>IF(ISBLANK('Info Cuencas'!A48),"",'Info Cuencas'!A48)</f>
        <v/>
      </c>
      <c r="B48" s="4" t="str">
        <f>IF(A48="","",'Info Cuencas'!B48)</f>
        <v/>
      </c>
      <c r="C48" t="str">
        <f>IF(A48="","",0.133*'Info Cuencas'!R48)</f>
        <v/>
      </c>
      <c r="E48" s="6" t="str">
        <f>IF(A48="","",0.6*'Info Cuencas'!R48+HUS!D48/2)</f>
        <v/>
      </c>
    </row>
    <row r="49" spans="1:5" x14ac:dyDescent="0.3">
      <c r="A49" t="str">
        <f>IF(ISBLANK('Info Cuencas'!A49),"",'Info Cuencas'!A49)</f>
        <v/>
      </c>
      <c r="B49" s="4" t="str">
        <f>IF(A49="","",'Info Cuencas'!B49)</f>
        <v/>
      </c>
      <c r="C49" t="str">
        <f>IF(A49="","",0.133*'Info Cuencas'!R49)</f>
        <v/>
      </c>
      <c r="E49" s="6" t="str">
        <f>IF(A49="","",0.6*'Info Cuencas'!R49+HUS!D49/2)</f>
        <v/>
      </c>
    </row>
    <row r="50" spans="1:5" x14ac:dyDescent="0.3">
      <c r="A50" t="str">
        <f>IF(ISBLANK('Info Cuencas'!A50),"",'Info Cuencas'!A50)</f>
        <v/>
      </c>
      <c r="B50" s="4" t="str">
        <f>IF(A50="","",'Info Cuencas'!B50)</f>
        <v/>
      </c>
      <c r="C50" t="str">
        <f>IF(A50="","",0.133*'Info Cuencas'!R50)</f>
        <v/>
      </c>
      <c r="E50" s="6" t="str">
        <f>IF(A50="","",0.6*'Info Cuencas'!R50+HUS!D50/2)</f>
        <v/>
      </c>
    </row>
    <row r="51" spans="1:5" x14ac:dyDescent="0.3">
      <c r="A51" t="str">
        <f>IF(ISBLANK('Info Cuencas'!A51),"",'Info Cuencas'!A51)</f>
        <v/>
      </c>
      <c r="B51" s="4" t="str">
        <f>IF(A51="","",'Info Cuencas'!B51)</f>
        <v/>
      </c>
      <c r="C51" t="str">
        <f>IF(A51="","",0.133*'Info Cuencas'!R51)</f>
        <v/>
      </c>
      <c r="E51" s="6" t="str">
        <f>IF(A51="","",0.6*'Info Cuencas'!R51+HUS!D51/2)</f>
        <v/>
      </c>
    </row>
    <row r="52" spans="1:5" x14ac:dyDescent="0.3">
      <c r="A52" t="str">
        <f>IF(ISBLANK('Info Cuencas'!A52),"",'Info Cuencas'!A52)</f>
        <v/>
      </c>
      <c r="B52" s="4" t="str">
        <f>IF(A52="","",'Info Cuencas'!B52)</f>
        <v/>
      </c>
      <c r="C52" t="str">
        <f>IF(A52="","",0.133*'Info Cuencas'!R52)</f>
        <v/>
      </c>
      <c r="E52" s="6" t="str">
        <f>IF(A52="","",0.6*'Info Cuencas'!R52+HUS!D52/2)</f>
        <v/>
      </c>
    </row>
    <row r="53" spans="1:5" x14ac:dyDescent="0.3">
      <c r="A53" t="str">
        <f>IF(ISBLANK('Info Cuencas'!A53),"",'Info Cuencas'!A53)</f>
        <v/>
      </c>
      <c r="B53" s="4" t="str">
        <f>IF(A53="","",'Info Cuencas'!B53)</f>
        <v/>
      </c>
      <c r="C53" t="str">
        <f>IF(A53="","",0.133*'Info Cuencas'!R53)</f>
        <v/>
      </c>
      <c r="E53" s="6" t="str">
        <f>IF(A53="","",0.6*'Info Cuencas'!R53+HUS!D53/2)</f>
        <v/>
      </c>
    </row>
    <row r="54" spans="1:5" x14ac:dyDescent="0.3">
      <c r="A54" t="str">
        <f>IF(ISBLANK('Info Cuencas'!A54),"",'Info Cuencas'!A54)</f>
        <v/>
      </c>
      <c r="B54" s="4" t="str">
        <f>IF(A54="","",'Info Cuencas'!B54)</f>
        <v/>
      </c>
      <c r="C54" t="str">
        <f>IF(A54="","",0.133*'Info Cuencas'!R54)</f>
        <v/>
      </c>
      <c r="E54" s="6" t="str">
        <f>IF(A54="","",0.6*'Info Cuencas'!R54+HUS!D54/2)</f>
        <v/>
      </c>
    </row>
    <row r="55" spans="1:5" x14ac:dyDescent="0.3">
      <c r="A55" t="str">
        <f>IF(ISBLANK('Info Cuencas'!A55),"",'Info Cuencas'!A55)</f>
        <v/>
      </c>
      <c r="B55" s="4" t="str">
        <f>IF(A55="","",'Info Cuencas'!B55)</f>
        <v/>
      </c>
      <c r="C55" t="str">
        <f>IF(A55="","",0.133*'Info Cuencas'!R55)</f>
        <v/>
      </c>
      <c r="E55" s="6" t="str">
        <f>IF(A55="","",0.6*'Info Cuencas'!R55+HUS!D55/2)</f>
        <v/>
      </c>
    </row>
    <row r="56" spans="1:5" x14ac:dyDescent="0.3">
      <c r="A56" t="str">
        <f>IF(ISBLANK('Info Cuencas'!A56),"",'Info Cuencas'!A56)</f>
        <v/>
      </c>
      <c r="B56" s="4" t="str">
        <f>IF(A56="","",'Info Cuencas'!B56)</f>
        <v/>
      </c>
      <c r="C56" t="str">
        <f>IF(A56="","",0.133*'Info Cuencas'!R56)</f>
        <v/>
      </c>
      <c r="E56" s="6" t="str">
        <f>IF(A56="","",0.6*'Info Cuencas'!R56+HUS!D56/2)</f>
        <v/>
      </c>
    </row>
    <row r="57" spans="1:5" x14ac:dyDescent="0.3">
      <c r="A57" t="str">
        <f>IF(ISBLANK('Info Cuencas'!A57),"",'Info Cuencas'!A57)</f>
        <v/>
      </c>
      <c r="B57" s="4" t="str">
        <f>IF(A57="","",'Info Cuencas'!B57)</f>
        <v/>
      </c>
      <c r="C57" t="str">
        <f>IF(A57="","",0.133*'Info Cuencas'!R57)</f>
        <v/>
      </c>
      <c r="E57" s="6" t="str">
        <f>IF(A57="","",0.6*'Info Cuencas'!R57+HUS!D57/2)</f>
        <v/>
      </c>
    </row>
    <row r="58" spans="1:5" x14ac:dyDescent="0.3">
      <c r="A58" t="str">
        <f>IF(ISBLANK('Info Cuencas'!A58),"",'Info Cuencas'!A58)</f>
        <v/>
      </c>
      <c r="B58" s="4" t="str">
        <f>IF(A58="","",'Info Cuencas'!B58)</f>
        <v/>
      </c>
      <c r="C58" t="str">
        <f>IF(A58="","",0.133*'Info Cuencas'!R58)</f>
        <v/>
      </c>
      <c r="E58" s="6" t="str">
        <f>IF(A58="","",0.6*'Info Cuencas'!R58+HUS!D58/2)</f>
        <v/>
      </c>
    </row>
    <row r="59" spans="1:5" x14ac:dyDescent="0.3">
      <c r="A59" t="str">
        <f>IF(ISBLANK('Info Cuencas'!A59),"",'Info Cuencas'!A59)</f>
        <v/>
      </c>
      <c r="B59" s="4" t="str">
        <f>IF(A59="","",'Info Cuencas'!B59)</f>
        <v/>
      </c>
      <c r="C59" t="str">
        <f>IF(A59="","",0.133*'Info Cuencas'!R59)</f>
        <v/>
      </c>
      <c r="E59" s="6" t="str">
        <f>IF(A59="","",0.6*'Info Cuencas'!R59+HUS!D59/2)</f>
        <v/>
      </c>
    </row>
    <row r="60" spans="1:5" x14ac:dyDescent="0.3">
      <c r="A60" t="str">
        <f>IF(ISBLANK('Info Cuencas'!A60),"",'Info Cuencas'!A60)</f>
        <v/>
      </c>
      <c r="B60" s="4" t="str">
        <f>IF(A60="","",'Info Cuencas'!B60)</f>
        <v/>
      </c>
      <c r="C60" t="str">
        <f>IF(A60="","",0.133*'Info Cuencas'!R60)</f>
        <v/>
      </c>
      <c r="E60" s="6" t="str">
        <f>IF(A60="","",0.6*'Info Cuencas'!R60+HUS!D60/2)</f>
        <v/>
      </c>
    </row>
    <row r="61" spans="1:5" x14ac:dyDescent="0.3">
      <c r="A61" t="str">
        <f>IF(ISBLANK('Info Cuencas'!A61),"",'Info Cuencas'!A61)</f>
        <v/>
      </c>
      <c r="B61" s="4" t="str">
        <f>IF(A61="","",'Info Cuencas'!B61)</f>
        <v/>
      </c>
      <c r="C61" t="str">
        <f>IF(A61="","",0.133*'Info Cuencas'!R61)</f>
        <v/>
      </c>
      <c r="E61" s="6" t="str">
        <f>IF(A61="","",0.6*'Info Cuencas'!R61+HUS!D61/2)</f>
        <v/>
      </c>
    </row>
    <row r="62" spans="1:5" x14ac:dyDescent="0.3">
      <c r="A62" t="str">
        <f>IF(ISBLANK('Info Cuencas'!A62),"",'Info Cuencas'!A62)</f>
        <v/>
      </c>
      <c r="B62" s="4" t="str">
        <f>IF(A62="","",'Info Cuencas'!B62)</f>
        <v/>
      </c>
      <c r="C62" t="str">
        <f>IF(A62="","",0.133*'Info Cuencas'!R62)</f>
        <v/>
      </c>
      <c r="E62" s="6" t="str">
        <f>IF(A62="","",0.6*'Info Cuencas'!R62+HUS!D62/2)</f>
        <v/>
      </c>
    </row>
    <row r="63" spans="1:5" x14ac:dyDescent="0.3">
      <c r="A63" t="str">
        <f>IF(ISBLANK('Info Cuencas'!A63),"",'Info Cuencas'!A63)</f>
        <v/>
      </c>
      <c r="B63" s="4" t="str">
        <f>IF(A63="","",'Info Cuencas'!B63)</f>
        <v/>
      </c>
      <c r="C63" t="str">
        <f>IF(A63="","",0.133*'Info Cuencas'!R63)</f>
        <v/>
      </c>
      <c r="E63" s="6" t="str">
        <f>IF(A63="","",0.6*'Info Cuencas'!R63+HUS!D63/2)</f>
        <v/>
      </c>
    </row>
    <row r="64" spans="1:5" x14ac:dyDescent="0.3">
      <c r="A64" t="str">
        <f>IF(ISBLANK('Info Cuencas'!A64),"",'Info Cuencas'!A64)</f>
        <v/>
      </c>
      <c r="B64" s="4" t="str">
        <f>IF(A64="","",'Info Cuencas'!B64)</f>
        <v/>
      </c>
      <c r="C64" t="str">
        <f>IF(A64="","",0.133*'Info Cuencas'!R64)</f>
        <v/>
      </c>
      <c r="E64" s="6" t="str">
        <f>IF(A64="","",0.6*'Info Cuencas'!R64+HUS!D64/2)</f>
        <v/>
      </c>
    </row>
    <row r="65" spans="1:5" x14ac:dyDescent="0.3">
      <c r="A65" t="str">
        <f>IF(ISBLANK('Info Cuencas'!A65),"",'Info Cuencas'!A65)</f>
        <v/>
      </c>
      <c r="B65" s="4" t="str">
        <f>IF(A65="","",'Info Cuencas'!B65)</f>
        <v/>
      </c>
      <c r="C65" t="str">
        <f>IF(A65="","",0.133*'Info Cuencas'!R65)</f>
        <v/>
      </c>
      <c r="E65" s="6" t="str">
        <f>IF(A65="","",0.6*'Info Cuencas'!R65+HUS!D65/2)</f>
        <v/>
      </c>
    </row>
    <row r="66" spans="1:5" x14ac:dyDescent="0.3">
      <c r="A66" t="str">
        <f>IF(ISBLANK('Info Cuencas'!A66),"",'Info Cuencas'!A66)</f>
        <v/>
      </c>
      <c r="B66" s="4" t="str">
        <f>IF(A66="","",'Info Cuencas'!B66)</f>
        <v/>
      </c>
      <c r="C66" t="str">
        <f>IF(A66="","",0.133*'Info Cuencas'!R66)</f>
        <v/>
      </c>
      <c r="E66" s="6" t="str">
        <f>IF(A66="","",0.6*'Info Cuencas'!R66+HUS!D66/2)</f>
        <v/>
      </c>
    </row>
    <row r="67" spans="1:5" x14ac:dyDescent="0.3">
      <c r="A67" t="str">
        <f>IF(ISBLANK('Info Cuencas'!A67),"",'Info Cuencas'!A67)</f>
        <v/>
      </c>
      <c r="B67" s="4" t="str">
        <f>IF(A67="","",'Info Cuencas'!B67)</f>
        <v/>
      </c>
      <c r="C67" t="str">
        <f>IF(A67="","",0.133*'Info Cuencas'!R67)</f>
        <v/>
      </c>
      <c r="E67" s="6" t="str">
        <f>IF(A67="","",0.6*'Info Cuencas'!R67+HUS!D67/2)</f>
        <v/>
      </c>
    </row>
    <row r="68" spans="1:5" x14ac:dyDescent="0.3">
      <c r="A68" t="str">
        <f>IF(ISBLANK('Info Cuencas'!A68),"",'Info Cuencas'!A68)</f>
        <v/>
      </c>
      <c r="B68" s="4" t="str">
        <f>IF(A68="","",'Info Cuencas'!B68)</f>
        <v/>
      </c>
      <c r="C68" t="str">
        <f>IF(A68="","",0.133*'Info Cuencas'!R68)</f>
        <v/>
      </c>
      <c r="E68" s="6" t="str">
        <f>IF(A68="","",0.6*'Info Cuencas'!R68+HUS!D68/2)</f>
        <v/>
      </c>
    </row>
    <row r="69" spans="1:5" x14ac:dyDescent="0.3">
      <c r="A69" t="str">
        <f>IF(ISBLANK('Info Cuencas'!A69),"",'Info Cuencas'!A69)</f>
        <v/>
      </c>
      <c r="B69" s="4" t="str">
        <f>IF(A69="","",'Info Cuencas'!B69)</f>
        <v/>
      </c>
      <c r="C69" t="str">
        <f>IF(A69="","",0.133*'Info Cuencas'!R69)</f>
        <v/>
      </c>
      <c r="E69" s="6" t="str">
        <f>IF(A69="","",0.6*'Info Cuencas'!R69+HUS!D69/2)</f>
        <v/>
      </c>
    </row>
    <row r="70" spans="1:5" x14ac:dyDescent="0.3">
      <c r="A70" t="str">
        <f>IF(ISBLANK('Info Cuencas'!A70),"",'Info Cuencas'!A70)</f>
        <v/>
      </c>
      <c r="B70" s="4" t="str">
        <f>IF(A70="","",'Info Cuencas'!B70)</f>
        <v/>
      </c>
      <c r="C70" t="str">
        <f>IF(A70="","",0.133*'Info Cuencas'!R70)</f>
        <v/>
      </c>
      <c r="E70" s="6" t="str">
        <f>IF(A70="","",0.6*'Info Cuencas'!R70+HUS!D70/2)</f>
        <v/>
      </c>
    </row>
    <row r="71" spans="1:5" x14ac:dyDescent="0.3">
      <c r="A71" t="str">
        <f>IF(ISBLANK('Info Cuencas'!A71),"",'Info Cuencas'!A71)</f>
        <v/>
      </c>
      <c r="B71" s="4" t="str">
        <f>IF(A71="","",'Info Cuencas'!B71)</f>
        <v/>
      </c>
      <c r="C71" t="str">
        <f>IF(A71="","",0.133*'Info Cuencas'!R71)</f>
        <v/>
      </c>
      <c r="E71" s="6" t="str">
        <f>IF(A71="","",0.6*'Info Cuencas'!R71+HUS!D71/2)</f>
        <v/>
      </c>
    </row>
    <row r="72" spans="1:5" x14ac:dyDescent="0.3">
      <c r="A72" t="str">
        <f>IF(ISBLANK('Info Cuencas'!A72),"",'Info Cuencas'!A72)</f>
        <v/>
      </c>
      <c r="B72" s="4" t="str">
        <f>IF(A72="","",'Info Cuencas'!B72)</f>
        <v/>
      </c>
      <c r="C72" t="str">
        <f>IF(A72="","",0.133*'Info Cuencas'!R72)</f>
        <v/>
      </c>
      <c r="E72" s="6" t="str">
        <f>IF(A72="","",0.6*'Info Cuencas'!R72+HUS!D72/2)</f>
        <v/>
      </c>
    </row>
    <row r="73" spans="1:5" x14ac:dyDescent="0.3">
      <c r="A73" t="str">
        <f>IF(ISBLANK('Info Cuencas'!A73),"",'Info Cuencas'!A73)</f>
        <v/>
      </c>
      <c r="B73" s="4" t="str">
        <f>IF(A73="","",'Info Cuencas'!B73)</f>
        <v/>
      </c>
      <c r="C73" t="str">
        <f>IF(A73="","",0.133*'Info Cuencas'!R73)</f>
        <v/>
      </c>
      <c r="E73" s="6" t="str">
        <f>IF(A73="","",0.6*'Info Cuencas'!R73+HUS!D73/2)</f>
        <v/>
      </c>
    </row>
    <row r="74" spans="1:5" x14ac:dyDescent="0.3">
      <c r="A74" t="str">
        <f>IF(ISBLANK('Info Cuencas'!A74),"",'Info Cuencas'!A74)</f>
        <v/>
      </c>
      <c r="B74" s="4" t="str">
        <f>IF(A74="","",'Info Cuencas'!B74)</f>
        <v/>
      </c>
      <c r="C74" t="str">
        <f>IF(A74="","",0.133*'Info Cuencas'!R74)</f>
        <v/>
      </c>
      <c r="E74" s="6" t="str">
        <f>IF(A74="","",0.6*'Info Cuencas'!R74+HUS!D74/2)</f>
        <v/>
      </c>
    </row>
    <row r="75" spans="1:5" x14ac:dyDescent="0.3">
      <c r="A75" t="str">
        <f>IF(ISBLANK('Info Cuencas'!A75),"",'Info Cuencas'!A75)</f>
        <v/>
      </c>
      <c r="B75" s="4" t="str">
        <f>IF(A75="","",'Info Cuencas'!B75)</f>
        <v/>
      </c>
      <c r="C75" t="str">
        <f>IF(A75="","",0.133*'Info Cuencas'!R75)</f>
        <v/>
      </c>
      <c r="E75" s="6" t="str">
        <f>IF(A75="","",0.6*'Info Cuencas'!R75+HUS!D75/2)</f>
        <v/>
      </c>
    </row>
    <row r="76" spans="1:5" x14ac:dyDescent="0.3">
      <c r="A76" t="str">
        <f>IF(ISBLANK('Info Cuencas'!A76),"",'Info Cuencas'!A76)</f>
        <v/>
      </c>
      <c r="B76" s="4" t="str">
        <f>IF(A76="","",'Info Cuencas'!B76)</f>
        <v/>
      </c>
      <c r="C76" t="str">
        <f>IF(A76="","",0.133*'Info Cuencas'!R76)</f>
        <v/>
      </c>
      <c r="E76" s="6" t="str">
        <f>IF(A76="","",0.6*'Info Cuencas'!R76+HUS!D76/2)</f>
        <v/>
      </c>
    </row>
    <row r="77" spans="1:5" x14ac:dyDescent="0.3">
      <c r="A77" t="str">
        <f>IF(ISBLANK('Info Cuencas'!A77),"",'Info Cuencas'!A77)</f>
        <v/>
      </c>
      <c r="B77" s="4" t="str">
        <f>IF(A77="","",'Info Cuencas'!B77)</f>
        <v/>
      </c>
      <c r="C77" t="str">
        <f>IF(A77="","",0.133*'Info Cuencas'!R77)</f>
        <v/>
      </c>
      <c r="E77" s="6" t="str">
        <f>IF(A77="","",0.6*'Info Cuencas'!R77+HUS!D77/2)</f>
        <v/>
      </c>
    </row>
    <row r="78" spans="1:5" x14ac:dyDescent="0.3">
      <c r="A78" t="str">
        <f>IF(ISBLANK('Info Cuencas'!A78),"",'Info Cuencas'!A78)</f>
        <v/>
      </c>
      <c r="B78" s="4" t="str">
        <f>IF(A78="","",'Info Cuencas'!B78)</f>
        <v/>
      </c>
      <c r="C78" t="str">
        <f>IF(A78="","",0.133*'Info Cuencas'!R78)</f>
        <v/>
      </c>
      <c r="E78" s="6" t="str">
        <f>IF(A78="","",0.6*'Info Cuencas'!R78+HUS!D78/2)</f>
        <v/>
      </c>
    </row>
    <row r="79" spans="1:5" x14ac:dyDescent="0.3">
      <c r="A79" t="str">
        <f>IF(ISBLANK('Info Cuencas'!A79),"",'Info Cuencas'!A79)</f>
        <v/>
      </c>
      <c r="B79" s="4" t="str">
        <f>IF(A79="","",'Info Cuencas'!B79)</f>
        <v/>
      </c>
      <c r="C79" t="str">
        <f>IF(A79="","",0.133*'Info Cuencas'!R79)</f>
        <v/>
      </c>
      <c r="E79" s="6" t="str">
        <f>IF(A79="","",0.6*'Info Cuencas'!R79+HUS!D79/2)</f>
        <v/>
      </c>
    </row>
    <row r="80" spans="1:5" x14ac:dyDescent="0.3">
      <c r="A80" t="str">
        <f>IF(ISBLANK('Info Cuencas'!A80),"",'Info Cuencas'!A80)</f>
        <v/>
      </c>
      <c r="B80" s="4" t="str">
        <f>IF(A80="","",'Info Cuencas'!B80)</f>
        <v/>
      </c>
      <c r="C80" t="str">
        <f>IF(A80="","",0.133*'Info Cuencas'!R80)</f>
        <v/>
      </c>
      <c r="E80" s="6" t="str">
        <f>IF(A80="","",0.6*'Info Cuencas'!R80+HUS!D80/2)</f>
        <v/>
      </c>
    </row>
    <row r="81" spans="1:5" x14ac:dyDescent="0.3">
      <c r="A81" t="str">
        <f>IF(ISBLANK('Info Cuencas'!A81),"",'Info Cuencas'!A81)</f>
        <v/>
      </c>
      <c r="B81" s="4" t="str">
        <f>IF(A81="","",'Info Cuencas'!B81)</f>
        <v/>
      </c>
      <c r="C81" t="str">
        <f>IF(A81="","",0.133*'Info Cuencas'!R81)</f>
        <v/>
      </c>
      <c r="E81" s="6" t="str">
        <f>IF(A81="","",0.6*'Info Cuencas'!R81+HUS!D81/2)</f>
        <v/>
      </c>
    </row>
    <row r="82" spans="1:5" x14ac:dyDescent="0.3">
      <c r="A82" t="str">
        <f>IF(ISBLANK('Info Cuencas'!A82),"",'Info Cuencas'!A82)</f>
        <v/>
      </c>
      <c r="B82" s="4" t="str">
        <f>IF(A82="","",'Info Cuencas'!B82)</f>
        <v/>
      </c>
      <c r="C82" t="str">
        <f>IF(A82="","",0.133*'Info Cuencas'!R82)</f>
        <v/>
      </c>
      <c r="E82" s="6" t="str">
        <f>IF(A82="","",0.6*'Info Cuencas'!R82+HUS!D82/2)</f>
        <v/>
      </c>
    </row>
    <row r="83" spans="1:5" x14ac:dyDescent="0.3">
      <c r="A83" t="str">
        <f>IF(ISBLANK('Info Cuencas'!A83),"",'Info Cuencas'!A83)</f>
        <v/>
      </c>
      <c r="B83" s="4" t="str">
        <f>IF(A83="","",'Info Cuencas'!B83)</f>
        <v/>
      </c>
      <c r="C83" t="str">
        <f>IF(A83="","",0.133*'Info Cuencas'!R83)</f>
        <v/>
      </c>
      <c r="E83" s="6" t="str">
        <f>IF(A83="","",0.6*'Info Cuencas'!R83+HUS!D83/2)</f>
        <v/>
      </c>
    </row>
    <row r="84" spans="1:5" x14ac:dyDescent="0.3">
      <c r="A84" t="str">
        <f>IF(ISBLANK('Info Cuencas'!A84),"",'Info Cuencas'!A84)</f>
        <v/>
      </c>
      <c r="B84" s="4" t="str">
        <f>IF(A84="","",'Info Cuencas'!B84)</f>
        <v/>
      </c>
      <c r="C84" t="str">
        <f>IF(A84="","",0.133*'Info Cuencas'!R84)</f>
        <v/>
      </c>
      <c r="E84" s="6" t="str">
        <f>IF(A84="","",0.6*'Info Cuencas'!R84+HUS!D84/2)</f>
        <v/>
      </c>
    </row>
    <row r="85" spans="1:5" x14ac:dyDescent="0.3">
      <c r="A85" t="str">
        <f>IF(ISBLANK('Info Cuencas'!A85),"",'Info Cuencas'!A85)</f>
        <v/>
      </c>
      <c r="B85" s="4" t="str">
        <f>IF(A85="","",'Info Cuencas'!B85)</f>
        <v/>
      </c>
      <c r="C85" t="str">
        <f>IF(A85="","",0.133*'Info Cuencas'!R85)</f>
        <v/>
      </c>
      <c r="E85" s="6" t="str">
        <f>IF(A85="","",0.6*'Info Cuencas'!R85+HUS!D85/2)</f>
        <v/>
      </c>
    </row>
    <row r="86" spans="1:5" x14ac:dyDescent="0.3">
      <c r="A86" t="str">
        <f>IF(ISBLANK('Info Cuencas'!A86),"",'Info Cuencas'!A86)</f>
        <v/>
      </c>
      <c r="B86" s="4" t="str">
        <f>IF(A86="","",'Info Cuencas'!B86)</f>
        <v/>
      </c>
      <c r="C86" t="str">
        <f>IF(A86="","",0.133*'Info Cuencas'!R86)</f>
        <v/>
      </c>
      <c r="E86" s="6" t="str">
        <f>IF(A86="","",0.6*'Info Cuencas'!R86+HUS!D86/2)</f>
        <v/>
      </c>
    </row>
    <row r="87" spans="1:5" x14ac:dyDescent="0.3">
      <c r="A87" t="str">
        <f>IF(ISBLANK('Info Cuencas'!A87),"",'Info Cuencas'!A87)</f>
        <v/>
      </c>
      <c r="B87" s="4" t="str">
        <f>IF(A87="","",'Info Cuencas'!B87)</f>
        <v/>
      </c>
      <c r="C87" t="str">
        <f>IF(A87="","",0.133*'Info Cuencas'!R87)</f>
        <v/>
      </c>
      <c r="E87" s="6" t="str">
        <f>IF(A87="","",0.6*'Info Cuencas'!R87+HUS!D87/2)</f>
        <v/>
      </c>
    </row>
    <row r="88" spans="1:5" x14ac:dyDescent="0.3">
      <c r="A88" t="str">
        <f>IF(ISBLANK('Info Cuencas'!A88),"",'Info Cuencas'!A88)</f>
        <v/>
      </c>
      <c r="B88" s="4" t="str">
        <f>IF(A88="","",'Info Cuencas'!B88)</f>
        <v/>
      </c>
      <c r="C88" t="str">
        <f>IF(A88="","",0.133*'Info Cuencas'!R88)</f>
        <v/>
      </c>
      <c r="E88" s="6" t="str">
        <f>IF(A88="","",0.6*'Info Cuencas'!R88+HUS!D88/2)</f>
        <v/>
      </c>
    </row>
    <row r="89" spans="1:5" x14ac:dyDescent="0.3">
      <c r="A89" t="str">
        <f>IF(ISBLANK('Info Cuencas'!A89),"",'Info Cuencas'!A89)</f>
        <v/>
      </c>
      <c r="B89" s="4" t="str">
        <f>IF(A89="","",'Info Cuencas'!B89)</f>
        <v/>
      </c>
      <c r="C89" t="str">
        <f>IF(A89="","",0.133*'Info Cuencas'!R89)</f>
        <v/>
      </c>
      <c r="E89" s="6" t="str">
        <f>IF(A89="","",0.6*'Info Cuencas'!R89+HUS!D89/2)</f>
        <v/>
      </c>
    </row>
    <row r="90" spans="1:5" x14ac:dyDescent="0.3">
      <c r="A90" t="str">
        <f>IF(ISBLANK('Info Cuencas'!A90),"",'Info Cuencas'!A90)</f>
        <v/>
      </c>
      <c r="B90" s="4" t="str">
        <f>IF(A90="","",'Info Cuencas'!B90)</f>
        <v/>
      </c>
      <c r="C90" t="str">
        <f>IF(A90="","",0.133*'Info Cuencas'!R90)</f>
        <v/>
      </c>
      <c r="E90" s="6" t="str">
        <f>IF(A90="","",0.6*'Info Cuencas'!R90+HUS!D90/2)</f>
        <v/>
      </c>
    </row>
    <row r="91" spans="1:5" x14ac:dyDescent="0.3">
      <c r="A91" t="str">
        <f>IF(ISBLANK('Info Cuencas'!A91),"",'Info Cuencas'!A91)</f>
        <v/>
      </c>
      <c r="B91" s="4" t="str">
        <f>IF(A91="","",'Info Cuencas'!B91)</f>
        <v/>
      </c>
      <c r="C91" t="str">
        <f>IF(A91="","",0.133*'Info Cuencas'!R91)</f>
        <v/>
      </c>
      <c r="E91" s="6" t="str">
        <f>IF(A91="","",0.6*'Info Cuencas'!R91+HUS!D91/2)</f>
        <v/>
      </c>
    </row>
    <row r="92" spans="1:5" x14ac:dyDescent="0.3">
      <c r="A92" t="str">
        <f>IF(ISBLANK('Info Cuencas'!A92),"",'Info Cuencas'!A92)</f>
        <v/>
      </c>
      <c r="B92" s="4" t="str">
        <f>IF(A92="","",'Info Cuencas'!B92)</f>
        <v/>
      </c>
      <c r="C92" t="str">
        <f>IF(A92="","",0.133*'Info Cuencas'!R92)</f>
        <v/>
      </c>
      <c r="E92" s="6" t="str">
        <f>IF(A92="","",0.6*'Info Cuencas'!R92+HUS!D92/2)</f>
        <v/>
      </c>
    </row>
    <row r="93" spans="1:5" x14ac:dyDescent="0.3">
      <c r="A93" t="str">
        <f>IF(ISBLANK('Info Cuencas'!A93),"",'Info Cuencas'!A93)</f>
        <v/>
      </c>
      <c r="B93" s="4" t="str">
        <f>IF(A93="","",'Info Cuencas'!B93)</f>
        <v/>
      </c>
      <c r="C93" t="str">
        <f>IF(A93="","",0.133*'Info Cuencas'!R93)</f>
        <v/>
      </c>
      <c r="E93" s="6" t="str">
        <f>IF(A93="","",0.6*'Info Cuencas'!R93+HUS!D93/2)</f>
        <v/>
      </c>
    </row>
    <row r="94" spans="1:5" x14ac:dyDescent="0.3">
      <c r="A94" t="str">
        <f>IF(ISBLANK('Info Cuencas'!A94),"",'Info Cuencas'!A94)</f>
        <v/>
      </c>
      <c r="B94" s="4" t="str">
        <f>IF(A94="","",'Info Cuencas'!B94)</f>
        <v/>
      </c>
      <c r="C94" t="str">
        <f>IF(A94="","",0.133*'Info Cuencas'!R94)</f>
        <v/>
      </c>
      <c r="E94" s="6" t="str">
        <f>IF(A94="","",0.6*'Info Cuencas'!R94+HUS!D94/2)</f>
        <v/>
      </c>
    </row>
    <row r="95" spans="1:5" x14ac:dyDescent="0.3">
      <c r="A95" t="str">
        <f>IF(ISBLANK('Info Cuencas'!A95),"",'Info Cuencas'!A95)</f>
        <v/>
      </c>
      <c r="B95" s="4" t="str">
        <f>IF(A95="","",'Info Cuencas'!B95)</f>
        <v/>
      </c>
      <c r="C95" t="str">
        <f>IF(A95="","",0.133*'Info Cuencas'!R95)</f>
        <v/>
      </c>
      <c r="E95" s="6" t="str">
        <f>IF(A95="","",0.6*'Info Cuencas'!R95+HUS!D95/2)</f>
        <v/>
      </c>
    </row>
    <row r="96" spans="1:5" x14ac:dyDescent="0.3">
      <c r="A96" t="str">
        <f>IF(ISBLANK('Info Cuencas'!A96),"",'Info Cuencas'!A96)</f>
        <v/>
      </c>
      <c r="B96" s="4" t="str">
        <f>IF(A96="","",'Info Cuencas'!B96)</f>
        <v/>
      </c>
      <c r="C96" t="str">
        <f>IF(A96="","",0.133*'Info Cuencas'!R96)</f>
        <v/>
      </c>
      <c r="E96" s="6" t="str">
        <f>IF(A96="","",0.6*'Info Cuencas'!R96+HUS!D96/2)</f>
        <v/>
      </c>
    </row>
    <row r="97" spans="1:5" x14ac:dyDescent="0.3">
      <c r="A97" t="str">
        <f>IF(ISBLANK('Info Cuencas'!A97),"",'Info Cuencas'!A97)</f>
        <v/>
      </c>
      <c r="B97" s="4" t="str">
        <f>IF(A97="","",'Info Cuencas'!B97)</f>
        <v/>
      </c>
      <c r="C97" t="str">
        <f>IF(A97="","",0.133*'Info Cuencas'!R97)</f>
        <v/>
      </c>
      <c r="E97" s="6" t="str">
        <f>IF(A97="","",0.6*'Info Cuencas'!R97+HUS!D97/2)</f>
        <v/>
      </c>
    </row>
    <row r="98" spans="1:5" x14ac:dyDescent="0.3">
      <c r="A98" t="str">
        <f>IF(ISBLANK('Info Cuencas'!A98),"",'Info Cuencas'!A98)</f>
        <v/>
      </c>
      <c r="B98" s="4" t="str">
        <f>IF(A98="","",'Info Cuencas'!B98)</f>
        <v/>
      </c>
      <c r="C98" t="str">
        <f>IF(A98="","",0.133*'Info Cuencas'!R98)</f>
        <v/>
      </c>
      <c r="E98" s="6" t="str">
        <f>IF(A98="","",0.6*'Info Cuencas'!R98+HUS!D98/2)</f>
        <v/>
      </c>
    </row>
    <row r="99" spans="1:5" x14ac:dyDescent="0.3">
      <c r="A99" t="str">
        <f>IF(ISBLANK('Info Cuencas'!A99),"",'Info Cuencas'!A99)</f>
        <v/>
      </c>
      <c r="B99" s="4" t="str">
        <f>IF(A99="","",'Info Cuencas'!B99)</f>
        <v/>
      </c>
      <c r="C99" t="str">
        <f>IF(A99="","",0.133*'Info Cuencas'!R99)</f>
        <v/>
      </c>
      <c r="E99" s="6" t="str">
        <f>IF(A99="","",0.6*'Info Cuencas'!R99+HUS!D99/2)</f>
        <v/>
      </c>
    </row>
    <row r="100" spans="1:5" x14ac:dyDescent="0.3">
      <c r="A100" t="str">
        <f>IF(ISBLANK('Info Cuencas'!A100),"",'Info Cuencas'!A100)</f>
        <v/>
      </c>
      <c r="B100" s="4" t="str">
        <f>IF(A100="","",'Info Cuencas'!B100)</f>
        <v/>
      </c>
      <c r="C100" t="str">
        <f>IF(A100="","",0.133*'Info Cuencas'!R100)</f>
        <v/>
      </c>
      <c r="E100" s="6" t="str">
        <f>IF(A100="","",0.6*'Info Cuencas'!R100+HUS!D100/2)</f>
        <v/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sheetPr codeName="Sheet3"/>
  <dimension ref="A1:ALL10"/>
  <sheetViews>
    <sheetView tabSelected="1" workbookViewId="0">
      <selection activeCell="I19" sqref="I19"/>
    </sheetView>
  </sheetViews>
  <sheetFormatPr defaultRowHeight="14.4" x14ac:dyDescent="0.3"/>
  <sheetData>
    <row r="1" spans="1:1000" x14ac:dyDescent="0.3">
      <c r="A1" s="13" t="s">
        <v>25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sheetPr codeName="Sheet4"/>
  <dimension ref="A1:ALL11"/>
  <sheetViews>
    <sheetView workbookViewId="0">
      <selection activeCell="K2" sqref="K2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sheetPr codeName="Sheet5"/>
  <dimension ref="A1:N242"/>
  <sheetViews>
    <sheetView topLeftCell="H1" workbookViewId="0">
      <selection activeCell="P5" sqref="P5"/>
    </sheetView>
  </sheetViews>
  <sheetFormatPr defaultRowHeight="14.4" x14ac:dyDescent="0.3"/>
  <cols>
    <col min="1" max="1" width="12.88671875" bestFit="1" customWidth="1"/>
    <col min="2" max="2" width="17.6640625" bestFit="1" customWidth="1"/>
    <col min="4" max="4" width="12.88671875" bestFit="1" customWidth="1"/>
    <col min="5" max="5" width="17.6640625" bestFit="1" customWidth="1"/>
    <col min="6" max="6" width="8.88671875" customWidth="1"/>
    <col min="7" max="7" width="12.88671875" bestFit="1" customWidth="1"/>
    <col min="8" max="8" width="17.6640625" bestFit="1" customWidth="1"/>
    <col min="9" max="9" width="8.88671875" customWidth="1"/>
    <col min="10" max="10" width="12.88671875" bestFit="1" customWidth="1"/>
    <col min="11" max="11" width="17.6640625" bestFit="1" customWidth="1"/>
    <col min="12" max="12" width="8.88671875" customWidth="1"/>
    <col min="13" max="13" width="12.88671875" bestFit="1" customWidth="1"/>
    <col min="14" max="14" width="11.5546875" bestFit="1" customWidth="1"/>
  </cols>
  <sheetData>
    <row r="1" spans="1:14" x14ac:dyDescent="0.3">
      <c r="A1" s="9" t="s">
        <v>29</v>
      </c>
      <c r="B1" s="9" t="s">
        <v>32</v>
      </c>
      <c r="C1" s="9"/>
      <c r="D1" s="9" t="s">
        <v>33</v>
      </c>
      <c r="E1" s="9" t="s">
        <v>34</v>
      </c>
      <c r="F1" s="9"/>
      <c r="G1" s="9" t="s">
        <v>35</v>
      </c>
      <c r="H1" s="9" t="s">
        <v>36</v>
      </c>
      <c r="I1" s="9"/>
      <c r="J1" s="9" t="s">
        <v>37</v>
      </c>
      <c r="K1" s="9" t="s">
        <v>38</v>
      </c>
      <c r="L1" s="9"/>
      <c r="M1" s="9" t="s">
        <v>39</v>
      </c>
      <c r="N1" s="9" t="s">
        <v>40</v>
      </c>
    </row>
    <row r="2" spans="1:14" x14ac:dyDescent="0.3">
      <c r="A2" s="4" t="s">
        <v>30</v>
      </c>
      <c r="B2" s="4" t="s">
        <v>31</v>
      </c>
      <c r="C2" s="4"/>
      <c r="D2" s="4" t="s">
        <v>30</v>
      </c>
      <c r="E2" s="4" t="s">
        <v>31</v>
      </c>
      <c r="F2" s="4"/>
      <c r="G2" s="4" t="s">
        <v>30</v>
      </c>
      <c r="H2" s="4" t="s">
        <v>31</v>
      </c>
      <c r="I2" s="4"/>
      <c r="J2" s="4" t="s">
        <v>30</v>
      </c>
      <c r="K2" s="4" t="s">
        <v>31</v>
      </c>
      <c r="L2" s="4"/>
      <c r="M2" s="4" t="s">
        <v>30</v>
      </c>
      <c r="N2" s="4" t="s">
        <v>31</v>
      </c>
    </row>
    <row r="3" spans="1:14" x14ac:dyDescent="0.3">
      <c r="A3" s="16">
        <v>0</v>
      </c>
      <c r="B3" s="16">
        <v>0</v>
      </c>
      <c r="C3" s="4"/>
      <c r="D3" s="16">
        <v>0</v>
      </c>
      <c r="E3" s="16">
        <v>0</v>
      </c>
      <c r="F3" s="16"/>
      <c r="G3" s="16">
        <v>0</v>
      </c>
      <c r="H3" s="16">
        <v>0</v>
      </c>
      <c r="I3" s="16"/>
      <c r="J3" s="16">
        <v>0</v>
      </c>
      <c r="K3" s="16">
        <v>0</v>
      </c>
      <c r="L3" s="16"/>
      <c r="M3" s="16">
        <v>0</v>
      </c>
      <c r="N3" s="16">
        <v>0</v>
      </c>
    </row>
    <row r="4" spans="1:14" x14ac:dyDescent="0.3">
      <c r="A4" s="16">
        <v>0.1</v>
      </c>
      <c r="B4" s="16">
        <v>0.21016949152542386</v>
      </c>
      <c r="C4" s="4"/>
      <c r="D4" s="16">
        <v>0.1</v>
      </c>
      <c r="E4" s="16">
        <v>0.14006514657980451</v>
      </c>
      <c r="F4" s="16"/>
      <c r="G4" s="16">
        <v>0.1</v>
      </c>
      <c r="H4" s="16">
        <v>0.14726027397260277</v>
      </c>
      <c r="I4" s="16"/>
      <c r="J4" s="16">
        <v>4.1666666666666664E-2</v>
      </c>
      <c r="K4" s="16">
        <v>1.7000000000000001E-2</v>
      </c>
      <c r="L4" s="16"/>
      <c r="M4" s="16">
        <v>4.1666666666666664E-2</v>
      </c>
      <c r="N4" s="16">
        <v>0.02</v>
      </c>
    </row>
    <row r="5" spans="1:14" x14ac:dyDescent="0.3">
      <c r="A5" s="16">
        <v>0.2</v>
      </c>
      <c r="B5" s="16">
        <v>0.4</v>
      </c>
      <c r="C5" s="4"/>
      <c r="D5" s="16">
        <v>0.2</v>
      </c>
      <c r="E5" s="16">
        <v>0.28664495114006527</v>
      </c>
      <c r="F5" s="16"/>
      <c r="G5" s="16">
        <v>0.2</v>
      </c>
      <c r="H5" s="16">
        <v>0.26027397260273943</v>
      </c>
      <c r="I5" s="16"/>
      <c r="J5" s="16">
        <v>8.3333333333333329E-2</v>
      </c>
      <c r="K5" s="16">
        <v>3.5000000000000003E-2</v>
      </c>
      <c r="L5" s="16"/>
      <c r="M5" s="16">
        <v>8.3333333333333329E-2</v>
      </c>
      <c r="N5" s="16">
        <v>0.05</v>
      </c>
    </row>
    <row r="6" spans="1:14" x14ac:dyDescent="0.3">
      <c r="A6" s="16">
        <v>0.3</v>
      </c>
      <c r="B6" s="16">
        <v>0.54237288135593231</v>
      </c>
      <c r="C6" s="4"/>
      <c r="D6" s="16">
        <v>0.3</v>
      </c>
      <c r="E6" s="16">
        <v>0.42019543973941376</v>
      </c>
      <c r="F6" s="16"/>
      <c r="G6" s="16">
        <v>0.3</v>
      </c>
      <c r="H6" s="16">
        <v>0.36643835616438347</v>
      </c>
      <c r="I6" s="16"/>
      <c r="J6" s="16">
        <v>0.125</v>
      </c>
      <c r="K6" s="16">
        <v>5.5E-2</v>
      </c>
      <c r="L6" s="16"/>
      <c r="M6" s="16">
        <v>0.125</v>
      </c>
      <c r="N6" s="16">
        <v>8.2000000000000003E-2</v>
      </c>
    </row>
    <row r="7" spans="1:14" x14ac:dyDescent="0.3">
      <c r="A7" s="16">
        <v>0.4</v>
      </c>
      <c r="B7" s="16">
        <v>0.63050847457627146</v>
      </c>
      <c r="C7" s="4"/>
      <c r="D7" s="16">
        <v>0.4</v>
      </c>
      <c r="E7" s="16">
        <v>0.56026058631921827</v>
      </c>
      <c r="F7" s="16"/>
      <c r="G7" s="16">
        <v>0.4</v>
      </c>
      <c r="H7" s="16">
        <v>0.45547945205479456</v>
      </c>
      <c r="I7" s="16"/>
      <c r="J7" s="16">
        <v>0.16666666666666666</v>
      </c>
      <c r="K7" s="16">
        <v>7.5999999999999998E-2</v>
      </c>
      <c r="L7" s="16"/>
      <c r="M7" s="16">
        <v>0.16666666666666666</v>
      </c>
      <c r="N7" s="16">
        <v>0.11600000000000001</v>
      </c>
    </row>
    <row r="8" spans="1:14" x14ac:dyDescent="0.3">
      <c r="A8" s="16">
        <v>0.5</v>
      </c>
      <c r="B8" s="16">
        <v>0.71525423728813564</v>
      </c>
      <c r="C8" s="4"/>
      <c r="D8" s="16">
        <v>0.5</v>
      </c>
      <c r="E8" s="16">
        <v>0.72638436482084712</v>
      </c>
      <c r="F8" s="16"/>
      <c r="G8" s="16">
        <v>0.5</v>
      </c>
      <c r="H8" s="16">
        <v>0.54452054794520532</v>
      </c>
      <c r="I8" s="16"/>
      <c r="J8" s="16">
        <v>0.20833333333333334</v>
      </c>
      <c r="K8" s="16">
        <v>9.9000000000000005E-2</v>
      </c>
      <c r="L8" s="16"/>
      <c r="M8" s="16">
        <v>0.20833333333333334</v>
      </c>
      <c r="N8" s="16">
        <v>0.156</v>
      </c>
    </row>
    <row r="9" spans="1:14" x14ac:dyDescent="0.3">
      <c r="A9" s="16">
        <v>0.6</v>
      </c>
      <c r="B9" s="16">
        <v>0.78305084745762743</v>
      </c>
      <c r="C9" s="4"/>
      <c r="D9" s="16">
        <v>0.6</v>
      </c>
      <c r="E9" s="16">
        <v>0.80130293159609101</v>
      </c>
      <c r="F9" s="16"/>
      <c r="G9" s="16">
        <v>0.6</v>
      </c>
      <c r="H9" s="16">
        <v>0.68835616438356151</v>
      </c>
      <c r="I9" s="16"/>
      <c r="J9" s="16">
        <v>0.25</v>
      </c>
      <c r="K9" s="16">
        <v>0.126</v>
      </c>
      <c r="L9" s="16"/>
      <c r="M9" s="16">
        <v>0.25</v>
      </c>
      <c r="N9" s="16">
        <v>0.20599999999999999</v>
      </c>
    </row>
    <row r="10" spans="1:14" x14ac:dyDescent="0.3">
      <c r="A10" s="16">
        <v>0.7</v>
      </c>
      <c r="B10" s="16">
        <v>0.85423728813559352</v>
      </c>
      <c r="C10" s="4"/>
      <c r="D10" s="16">
        <v>0.7</v>
      </c>
      <c r="E10" s="16">
        <v>0.8827361563517917</v>
      </c>
      <c r="F10" s="16"/>
      <c r="G10" s="16">
        <v>0.7</v>
      </c>
      <c r="H10" s="16">
        <v>0.81164383561643805</v>
      </c>
      <c r="I10" s="16"/>
      <c r="J10" s="16">
        <v>0.29166666666666669</v>
      </c>
      <c r="K10" s="16">
        <v>0.156</v>
      </c>
      <c r="L10" s="16"/>
      <c r="M10" s="16">
        <v>0.29166666666666669</v>
      </c>
      <c r="N10" s="16">
        <v>0.26800000000000002</v>
      </c>
    </row>
    <row r="11" spans="1:14" x14ac:dyDescent="0.3">
      <c r="A11" s="16">
        <v>0.8</v>
      </c>
      <c r="B11" s="16">
        <v>0.91186440677966119</v>
      </c>
      <c r="C11" s="4"/>
      <c r="D11" s="16">
        <v>0.8</v>
      </c>
      <c r="E11" s="16">
        <v>0.94136807817589574</v>
      </c>
      <c r="F11" s="16"/>
      <c r="G11" s="16">
        <v>0.8</v>
      </c>
      <c r="H11" s="16">
        <v>0.90753424657534243</v>
      </c>
      <c r="I11" s="16"/>
      <c r="J11" s="16">
        <v>0.33333333333333331</v>
      </c>
      <c r="K11" s="16">
        <v>0.19400000000000001</v>
      </c>
      <c r="L11" s="16"/>
      <c r="M11" s="16">
        <v>0.33333333333333331</v>
      </c>
      <c r="N11" s="16">
        <v>0.42499999999999999</v>
      </c>
    </row>
    <row r="12" spans="1:14" x14ac:dyDescent="0.3">
      <c r="A12" s="16">
        <v>0.9</v>
      </c>
      <c r="B12" s="16">
        <v>0.95932203389830528</v>
      </c>
      <c r="C12" s="4"/>
      <c r="D12" s="16">
        <v>0.9</v>
      </c>
      <c r="E12" s="16">
        <v>0.97394136807817577</v>
      </c>
      <c r="F12" s="16"/>
      <c r="G12" s="16">
        <v>0.9</v>
      </c>
      <c r="H12" s="16">
        <v>0.96232876712328763</v>
      </c>
      <c r="I12" s="16"/>
      <c r="J12" s="16">
        <v>0.375</v>
      </c>
      <c r="K12" s="16">
        <v>0.254</v>
      </c>
      <c r="L12" s="16"/>
      <c r="M12" s="16">
        <v>0.375</v>
      </c>
      <c r="N12" s="16">
        <v>0.52</v>
      </c>
    </row>
    <row r="13" spans="1:14" x14ac:dyDescent="0.3">
      <c r="A13" s="16">
        <v>1</v>
      </c>
      <c r="B13" s="16">
        <v>1</v>
      </c>
      <c r="C13" s="4"/>
      <c r="D13" s="16">
        <v>1</v>
      </c>
      <c r="E13" s="16">
        <v>1</v>
      </c>
      <c r="F13" s="16"/>
      <c r="G13" s="16">
        <v>1</v>
      </c>
      <c r="H13" s="16">
        <v>1</v>
      </c>
      <c r="I13" s="16"/>
      <c r="J13" s="16">
        <v>0.41666666666666669</v>
      </c>
      <c r="K13" s="16">
        <v>0.51500000000000001</v>
      </c>
      <c r="L13" s="16"/>
      <c r="M13" s="16">
        <v>0.41666666666666669</v>
      </c>
      <c r="N13" s="16">
        <v>0.57699999999999996</v>
      </c>
    </row>
    <row r="14" spans="1:14" x14ac:dyDescent="0.3">
      <c r="A14" s="4"/>
      <c r="B14" s="4"/>
      <c r="C14" s="4"/>
      <c r="D14" s="4"/>
      <c r="E14" s="4"/>
      <c r="F14" s="4"/>
      <c r="G14" s="4"/>
      <c r="H14" s="4"/>
      <c r="I14" s="16"/>
      <c r="J14" s="16">
        <v>0.45833333333333331</v>
      </c>
      <c r="K14" s="16">
        <v>0.624</v>
      </c>
      <c r="L14" s="16"/>
      <c r="M14" s="16">
        <v>0.45833333333333331</v>
      </c>
      <c r="N14" s="16">
        <v>0.624</v>
      </c>
    </row>
    <row r="15" spans="1:14" x14ac:dyDescent="0.3">
      <c r="A15" s="4"/>
      <c r="B15" s="4"/>
      <c r="C15" s="4"/>
      <c r="D15" s="4"/>
      <c r="E15" s="4"/>
      <c r="F15" s="4"/>
      <c r="G15" s="4"/>
      <c r="H15" s="4"/>
      <c r="I15" s="16"/>
      <c r="J15" s="16">
        <v>0.5</v>
      </c>
      <c r="K15" s="16">
        <v>0.68200000000000005</v>
      </c>
      <c r="L15" s="16"/>
      <c r="M15" s="16">
        <v>0.5</v>
      </c>
      <c r="N15" s="16">
        <v>0.66400000000000003</v>
      </c>
    </row>
    <row r="16" spans="1:14" x14ac:dyDescent="0.3">
      <c r="A16" s="4"/>
      <c r="B16" s="4"/>
      <c r="C16" s="4"/>
      <c r="D16" s="4"/>
      <c r="E16" s="4"/>
      <c r="F16" s="4"/>
      <c r="G16" s="4"/>
      <c r="H16" s="4"/>
      <c r="I16" s="16"/>
      <c r="J16" s="16">
        <v>0.54166666666666663</v>
      </c>
      <c r="K16" s="16">
        <v>0.72799999999999998</v>
      </c>
      <c r="L16" s="16"/>
      <c r="M16" s="16">
        <v>0.54166666666666663</v>
      </c>
      <c r="N16" s="16">
        <v>0.70099999999999996</v>
      </c>
    </row>
    <row r="17" spans="1:14" x14ac:dyDescent="0.3">
      <c r="A17" s="4"/>
      <c r="B17" s="4"/>
      <c r="C17" s="4"/>
      <c r="D17" s="4"/>
      <c r="E17" s="4"/>
      <c r="F17" s="4"/>
      <c r="G17" s="4"/>
      <c r="H17" s="4"/>
      <c r="I17" s="16"/>
      <c r="J17" s="16">
        <v>0.58333333333333337</v>
      </c>
      <c r="K17" s="16">
        <v>0.76600000000000001</v>
      </c>
      <c r="L17" s="16"/>
      <c r="M17" s="16">
        <v>0.58333333333333337</v>
      </c>
      <c r="N17" s="16">
        <v>0.73599999999999999</v>
      </c>
    </row>
    <row r="18" spans="1:14" x14ac:dyDescent="0.3">
      <c r="A18" s="4"/>
      <c r="B18" s="4"/>
      <c r="C18" s="4"/>
      <c r="D18" s="4"/>
      <c r="E18" s="4"/>
      <c r="F18" s="4"/>
      <c r="G18" s="4"/>
      <c r="H18" s="4"/>
      <c r="I18" s="16"/>
      <c r="J18" s="16">
        <v>0.625</v>
      </c>
      <c r="K18" s="16">
        <v>0.79900000000000004</v>
      </c>
      <c r="L18" s="16"/>
      <c r="M18" s="16">
        <v>0.625</v>
      </c>
      <c r="N18" s="16">
        <v>0.76900000000000002</v>
      </c>
    </row>
    <row r="19" spans="1:14" x14ac:dyDescent="0.3">
      <c r="A19" s="4"/>
      <c r="B19" s="4"/>
      <c r="C19" s="4"/>
      <c r="D19" s="4"/>
      <c r="E19" s="4"/>
      <c r="F19" s="4"/>
      <c r="G19" s="4"/>
      <c r="H19" s="4"/>
      <c r="I19" s="16"/>
      <c r="J19" s="16">
        <v>0.66666666666666663</v>
      </c>
      <c r="K19" s="16">
        <v>0.83</v>
      </c>
      <c r="L19" s="16"/>
      <c r="M19" s="16">
        <v>0.66666666666666663</v>
      </c>
      <c r="N19" s="16">
        <v>0.8</v>
      </c>
    </row>
    <row r="20" spans="1:14" x14ac:dyDescent="0.3">
      <c r="A20" s="4"/>
      <c r="B20" s="4"/>
      <c r="C20" s="4"/>
      <c r="D20" s="4"/>
      <c r="E20" s="4"/>
      <c r="F20" s="4"/>
      <c r="G20" s="4"/>
      <c r="H20" s="4"/>
      <c r="I20" s="16"/>
      <c r="J20" s="16">
        <v>0.70833333333333337</v>
      </c>
      <c r="K20" s="16">
        <v>0.85699999999999998</v>
      </c>
      <c r="L20" s="16"/>
      <c r="M20" s="16">
        <v>0.70833333333333337</v>
      </c>
      <c r="N20" s="16">
        <v>0.83</v>
      </c>
    </row>
    <row r="21" spans="1:14" x14ac:dyDescent="0.3">
      <c r="A21" s="4"/>
      <c r="B21" s="4"/>
      <c r="C21" s="4"/>
      <c r="D21" s="4"/>
      <c r="E21" s="4"/>
      <c r="F21" s="4"/>
      <c r="G21" s="4"/>
      <c r="H21" s="4"/>
      <c r="I21" s="16"/>
      <c r="J21" s="16">
        <v>0.75</v>
      </c>
      <c r="K21" s="16">
        <v>0.88200000000000001</v>
      </c>
      <c r="L21" s="16"/>
      <c r="M21" s="16">
        <v>0.75</v>
      </c>
      <c r="N21" s="16">
        <v>0.85799999999999998</v>
      </c>
    </row>
    <row r="22" spans="1:14" x14ac:dyDescent="0.3">
      <c r="A22" s="4"/>
      <c r="B22" s="4"/>
      <c r="C22" s="4"/>
      <c r="D22" s="4"/>
      <c r="E22" s="4"/>
      <c r="F22" s="4"/>
      <c r="G22" s="4"/>
      <c r="H22" s="4"/>
      <c r="I22" s="16"/>
      <c r="J22" s="16">
        <v>0.79166666666666663</v>
      </c>
      <c r="K22" s="16">
        <v>0.90500000000000003</v>
      </c>
      <c r="L22" s="16"/>
      <c r="M22" s="16">
        <v>0.79166666666666663</v>
      </c>
      <c r="N22" s="16">
        <v>0.88400000000000001</v>
      </c>
    </row>
    <row r="23" spans="1:14" x14ac:dyDescent="0.3">
      <c r="A23" s="4"/>
      <c r="B23" s="4"/>
      <c r="C23" s="4"/>
      <c r="D23" s="4"/>
      <c r="E23" s="4"/>
      <c r="F23" s="4"/>
      <c r="G23" s="4"/>
      <c r="H23" s="4"/>
      <c r="I23" s="16"/>
      <c r="J23" s="16">
        <v>0.83333333333333337</v>
      </c>
      <c r="K23" s="16">
        <v>0.92600000000000005</v>
      </c>
      <c r="L23" s="16"/>
      <c r="M23" s="16">
        <v>0.83333333333333337</v>
      </c>
      <c r="N23" s="16">
        <v>0.90800000000000003</v>
      </c>
    </row>
    <row r="24" spans="1:14" x14ac:dyDescent="0.3">
      <c r="A24" s="4"/>
      <c r="B24" s="4"/>
      <c r="C24" s="4"/>
      <c r="D24" s="4"/>
      <c r="E24" s="4"/>
      <c r="F24" s="4"/>
      <c r="G24" s="4"/>
      <c r="H24" s="4"/>
      <c r="I24" s="16"/>
      <c r="J24" s="16">
        <v>0.875</v>
      </c>
      <c r="K24" s="16">
        <v>0.94599999999999995</v>
      </c>
      <c r="L24" s="16"/>
      <c r="M24" s="16">
        <v>0.875</v>
      </c>
      <c r="N24" s="16">
        <v>0.93200000000000005</v>
      </c>
    </row>
    <row r="25" spans="1:14" x14ac:dyDescent="0.3">
      <c r="A25" s="4"/>
      <c r="B25" s="4"/>
      <c r="C25" s="4"/>
      <c r="D25" s="4"/>
      <c r="E25" s="4"/>
      <c r="F25" s="4"/>
      <c r="G25" s="4"/>
      <c r="H25" s="4"/>
      <c r="I25" s="16"/>
      <c r="J25" s="16">
        <v>0.91666666666666663</v>
      </c>
      <c r="K25" s="16">
        <v>0.96499999999999997</v>
      </c>
      <c r="L25" s="16"/>
      <c r="M25" s="16">
        <v>0.91666666666666663</v>
      </c>
      <c r="N25" s="16">
        <v>0.95599999999999996</v>
      </c>
    </row>
    <row r="26" spans="1:14" x14ac:dyDescent="0.3">
      <c r="A26" s="4"/>
      <c r="B26" s="4"/>
      <c r="C26" s="4"/>
      <c r="D26" s="4"/>
      <c r="E26" s="4"/>
      <c r="F26" s="4"/>
      <c r="G26" s="4"/>
      <c r="H26" s="4"/>
      <c r="I26" s="16"/>
      <c r="J26" s="16">
        <v>0.95833333333333337</v>
      </c>
      <c r="K26" s="16">
        <v>0.98299999999999998</v>
      </c>
      <c r="L26" s="16"/>
      <c r="M26" s="16">
        <v>0.95833333333333337</v>
      </c>
      <c r="N26" s="16">
        <v>0.97799999999999998</v>
      </c>
    </row>
    <row r="27" spans="1:14" x14ac:dyDescent="0.3">
      <c r="A27" s="4"/>
      <c r="B27" s="4"/>
      <c r="C27" s="4"/>
      <c r="D27" s="4"/>
      <c r="E27" s="4"/>
      <c r="F27" s="4"/>
      <c r="G27" s="4"/>
      <c r="H27" s="4"/>
      <c r="I27" s="16"/>
      <c r="J27" s="16">
        <v>1</v>
      </c>
      <c r="K27" s="16">
        <v>1</v>
      </c>
      <c r="L27" s="16"/>
      <c r="M27" s="16">
        <v>1</v>
      </c>
      <c r="N27" s="16">
        <v>1</v>
      </c>
    </row>
    <row r="28" spans="1:14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4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</row>
    <row r="30" spans="1:14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4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4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</row>
    <row r="33" spans="1:13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spans="1:13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1:13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  <row r="54" spans="1:13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spans="1:13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spans="1:13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</row>
    <row r="57" spans="1:13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</row>
    <row r="58" spans="1:13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</row>
    <row r="59" spans="1:13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</row>
    <row r="60" spans="1:13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</row>
    <row r="61" spans="1:13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</row>
    <row r="62" spans="1:13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</row>
    <row r="63" spans="1:13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spans="1:13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</row>
    <row r="65" spans="1:13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</row>
    <row r="66" spans="1:13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</row>
    <row r="67" spans="1:13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</row>
    <row r="68" spans="1:13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</row>
    <row r="69" spans="1:13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</row>
    <row r="70" spans="1:13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</row>
    <row r="71" spans="1:13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</row>
    <row r="72" spans="1:13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</row>
    <row r="74" spans="1:13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</row>
    <row r="76" spans="1:13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</row>
    <row r="77" spans="1:13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8" spans="1:13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</row>
    <row r="79" spans="1:13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</row>
    <row r="80" spans="1:13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</row>
    <row r="81" spans="1:13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</row>
    <row r="82" spans="1:13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</row>
    <row r="83" spans="1:13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</row>
    <row r="84" spans="1:13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spans="1:13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spans="1:13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</row>
    <row r="87" spans="1:13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</row>
    <row r="88" spans="1:13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</row>
    <row r="89" spans="1:13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</row>
    <row r="90" spans="1:13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spans="1:13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spans="1:13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spans="1:13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spans="1:13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spans="1:13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spans="1:13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spans="1:13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</row>
    <row r="98" spans="1:13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spans="1:13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</row>
    <row r="100" spans="1:13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9F95-56CA-420C-A8F3-E6555BAE56CD}">
  <sheetPr codeName="Sheet6"/>
  <dimension ref="A1:C34"/>
  <sheetViews>
    <sheetView workbookViewId="0">
      <selection activeCell="H5" sqref="H5"/>
    </sheetView>
  </sheetViews>
  <sheetFormatPr defaultRowHeight="14.4" x14ac:dyDescent="0.3"/>
  <sheetData>
    <row r="1" spans="1:3" x14ac:dyDescent="0.3">
      <c r="A1" t="s">
        <v>26</v>
      </c>
      <c r="B1" t="s">
        <v>27</v>
      </c>
      <c r="C1" t="s">
        <v>28</v>
      </c>
    </row>
    <row r="2" spans="1:3" x14ac:dyDescent="0.3">
      <c r="A2" s="14">
        <v>0</v>
      </c>
      <c r="B2" s="15">
        <v>0</v>
      </c>
      <c r="C2" s="15">
        <v>0</v>
      </c>
    </row>
    <row r="3" spans="1:3" x14ac:dyDescent="0.3">
      <c r="A3">
        <v>0.1</v>
      </c>
      <c r="B3" s="15">
        <v>0.03</v>
      </c>
      <c r="C3">
        <v>1E-3</v>
      </c>
    </row>
    <row r="4" spans="1:3" x14ac:dyDescent="0.3">
      <c r="A4">
        <v>0.2</v>
      </c>
      <c r="B4" s="15">
        <v>0.1</v>
      </c>
      <c r="C4">
        <v>6.0000000000000001E-3</v>
      </c>
    </row>
    <row r="5" spans="1:3" x14ac:dyDescent="0.3">
      <c r="A5">
        <v>0.3</v>
      </c>
      <c r="B5" s="15">
        <v>0.19</v>
      </c>
      <c r="C5">
        <v>1.7000000000000001E-2</v>
      </c>
    </row>
    <row r="6" spans="1:3" x14ac:dyDescent="0.3">
      <c r="A6">
        <v>0.4</v>
      </c>
      <c r="B6" s="15">
        <v>0.31</v>
      </c>
      <c r="C6">
        <v>3.5000000000000003E-2</v>
      </c>
    </row>
    <row r="7" spans="1:3" x14ac:dyDescent="0.3">
      <c r="A7">
        <v>0.5</v>
      </c>
      <c r="B7" s="15">
        <v>0.47</v>
      </c>
      <c r="C7">
        <v>6.5000000000000002E-2</v>
      </c>
    </row>
    <row r="8" spans="1:3" x14ac:dyDescent="0.3">
      <c r="A8">
        <v>0.6</v>
      </c>
      <c r="B8" s="15">
        <v>0.66</v>
      </c>
      <c r="C8">
        <v>0.107</v>
      </c>
    </row>
    <row r="9" spans="1:3" x14ac:dyDescent="0.3">
      <c r="A9">
        <v>0.7</v>
      </c>
      <c r="B9" s="15">
        <v>0.82</v>
      </c>
      <c r="C9">
        <v>0.16300000000000001</v>
      </c>
    </row>
    <row r="10" spans="1:3" x14ac:dyDescent="0.3">
      <c r="A10">
        <v>0.8</v>
      </c>
      <c r="B10" s="15">
        <v>0.93</v>
      </c>
      <c r="C10" s="15">
        <v>0.22800000000000001</v>
      </c>
    </row>
    <row r="11" spans="1:3" x14ac:dyDescent="0.3">
      <c r="A11">
        <v>0.9</v>
      </c>
      <c r="B11" s="15">
        <v>0.99</v>
      </c>
      <c r="C11" s="15">
        <v>0.3</v>
      </c>
    </row>
    <row r="12" spans="1:3" x14ac:dyDescent="0.3">
      <c r="A12" s="14">
        <v>1</v>
      </c>
      <c r="B12" s="15">
        <v>1</v>
      </c>
      <c r="C12">
        <v>0.375</v>
      </c>
    </row>
    <row r="13" spans="1:3" x14ac:dyDescent="0.3">
      <c r="A13">
        <v>1.1000000000000001</v>
      </c>
      <c r="B13" s="15">
        <v>0.99</v>
      </c>
      <c r="C13" s="15">
        <v>0.45</v>
      </c>
    </row>
    <row r="14" spans="1:3" x14ac:dyDescent="0.3">
      <c r="A14">
        <v>1.2</v>
      </c>
      <c r="B14" s="15">
        <v>0.93</v>
      </c>
      <c r="C14">
        <v>0.52200000000000002</v>
      </c>
    </row>
    <row r="15" spans="1:3" x14ac:dyDescent="0.3">
      <c r="A15">
        <v>1.3</v>
      </c>
      <c r="B15" s="15">
        <v>0.86</v>
      </c>
      <c r="C15">
        <v>0.58899999999999997</v>
      </c>
    </row>
    <row r="16" spans="1:3" x14ac:dyDescent="0.3">
      <c r="A16">
        <v>1.4</v>
      </c>
      <c r="B16" s="15">
        <v>0.78</v>
      </c>
      <c r="C16" s="15">
        <v>0.65</v>
      </c>
    </row>
    <row r="17" spans="1:3" x14ac:dyDescent="0.3">
      <c r="A17">
        <v>1.5</v>
      </c>
      <c r="B17" s="15">
        <v>0.68</v>
      </c>
      <c r="C17">
        <v>0.70499999999999996</v>
      </c>
    </row>
    <row r="18" spans="1:3" x14ac:dyDescent="0.3">
      <c r="A18">
        <v>1.6</v>
      </c>
      <c r="B18" s="15">
        <v>0.56000000000000005</v>
      </c>
      <c r="C18">
        <v>0.751</v>
      </c>
    </row>
    <row r="19" spans="1:3" x14ac:dyDescent="0.3">
      <c r="A19">
        <v>1.7</v>
      </c>
      <c r="B19" s="15">
        <v>0.46</v>
      </c>
      <c r="C19" s="15">
        <v>0.79</v>
      </c>
    </row>
    <row r="20" spans="1:3" x14ac:dyDescent="0.3">
      <c r="A20">
        <v>1.8</v>
      </c>
      <c r="B20" s="15">
        <v>0.39</v>
      </c>
      <c r="C20">
        <v>0.82199999999999995</v>
      </c>
    </row>
    <row r="21" spans="1:3" x14ac:dyDescent="0.3">
      <c r="A21">
        <v>1.9</v>
      </c>
      <c r="B21" s="15">
        <v>0.33</v>
      </c>
      <c r="C21">
        <v>0.84899999999999998</v>
      </c>
    </row>
    <row r="22" spans="1:3" x14ac:dyDescent="0.3">
      <c r="A22" s="14">
        <v>2</v>
      </c>
      <c r="B22" s="15">
        <v>0.28000000000000003</v>
      </c>
      <c r="C22">
        <v>0.871</v>
      </c>
    </row>
    <row r="23" spans="1:3" x14ac:dyDescent="0.3">
      <c r="A23">
        <v>2.2000000000000002</v>
      </c>
      <c r="B23" s="15">
        <v>0.20699999999999999</v>
      </c>
      <c r="C23">
        <v>0.90800000000000003</v>
      </c>
    </row>
    <row r="24" spans="1:3" x14ac:dyDescent="0.3">
      <c r="A24">
        <v>2.4</v>
      </c>
      <c r="B24" s="15">
        <v>0.14699999999999999</v>
      </c>
      <c r="C24">
        <v>0.93400000000000005</v>
      </c>
    </row>
    <row r="25" spans="1:3" x14ac:dyDescent="0.3">
      <c r="A25">
        <v>2.6</v>
      </c>
      <c r="B25" s="15">
        <v>0.107</v>
      </c>
      <c r="C25">
        <v>0.95299999999999996</v>
      </c>
    </row>
    <row r="26" spans="1:3" x14ac:dyDescent="0.3">
      <c r="A26">
        <v>2.8</v>
      </c>
      <c r="B26" s="15">
        <v>7.6999999999999999E-2</v>
      </c>
      <c r="C26">
        <v>0.96699999999999997</v>
      </c>
    </row>
    <row r="27" spans="1:3" x14ac:dyDescent="0.3">
      <c r="A27" s="14">
        <v>3</v>
      </c>
      <c r="B27" s="15">
        <v>5.5E-2</v>
      </c>
      <c r="C27">
        <v>0.97699999999999998</v>
      </c>
    </row>
    <row r="28" spans="1:3" x14ac:dyDescent="0.3">
      <c r="A28">
        <v>3.2</v>
      </c>
      <c r="B28" s="15">
        <v>0.04</v>
      </c>
      <c r="C28">
        <v>0.98399999999999999</v>
      </c>
    </row>
    <row r="29" spans="1:3" x14ac:dyDescent="0.3">
      <c r="A29">
        <v>3.4</v>
      </c>
      <c r="B29" s="15">
        <v>2.9000000000000001E-2</v>
      </c>
      <c r="C29">
        <v>0.98899999999999999</v>
      </c>
    </row>
    <row r="30" spans="1:3" x14ac:dyDescent="0.3">
      <c r="A30">
        <v>3.6</v>
      </c>
      <c r="B30" s="15">
        <v>2.1000000000000001E-2</v>
      </c>
      <c r="C30">
        <v>0.99299999999999999</v>
      </c>
    </row>
    <row r="31" spans="1:3" x14ac:dyDescent="0.3">
      <c r="A31">
        <v>3.8</v>
      </c>
      <c r="B31" s="15">
        <v>1.4999999999999999E-2</v>
      </c>
      <c r="C31">
        <v>0.995</v>
      </c>
    </row>
    <row r="32" spans="1:3" x14ac:dyDescent="0.3">
      <c r="A32" s="14">
        <v>4</v>
      </c>
      <c r="B32" s="15">
        <v>1.0999999999999999E-2</v>
      </c>
      <c r="C32">
        <v>0.997</v>
      </c>
    </row>
    <row r="33" spans="1:3" x14ac:dyDescent="0.3">
      <c r="A33">
        <v>4.5</v>
      </c>
      <c r="B33" s="15">
        <v>5.0000000000000001E-3</v>
      </c>
      <c r="C33">
        <v>0.999</v>
      </c>
    </row>
    <row r="34" spans="1:3" x14ac:dyDescent="0.3">
      <c r="A34" s="14">
        <v>5</v>
      </c>
      <c r="B34" s="15">
        <v>0</v>
      </c>
      <c r="C34" s="1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customXml/itemProps2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 Cuencas</vt:lpstr>
      <vt:lpstr>HUS</vt:lpstr>
      <vt:lpstr>Pp Max</vt:lpstr>
      <vt:lpstr>CD</vt:lpstr>
      <vt:lpstr>Tormentas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2026-08-22T17:48:19Z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