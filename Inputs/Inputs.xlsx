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Codigos\HU_SCS\Inputs\"/>
    </mc:Choice>
  </mc:AlternateContent>
  <xr:revisionPtr revIDLastSave="0" documentId="13_ncr:1_{8AD2228B-8509-46A4-B2DA-D8E8D7EEA2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 Cuencas" sheetId="1" r:id="rId1"/>
    <sheet name="HUS" sheetId="2" r:id="rId2"/>
    <sheet name="Pp Max" sheetId="3" r:id="rId3"/>
    <sheet name="CD" sheetId="4" r:id="rId4"/>
    <sheet name="Tormentas" sheetId="5" r:id="rId5"/>
    <sheet name="Ratio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F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3" i="2"/>
  <c r="C2" i="2"/>
  <c r="B2" i="2"/>
  <c r="B1" i="4" a="1"/>
  <c r="B1" i="4" s="1"/>
  <c r="B1" i="3" a="1"/>
  <c r="B1" i="3" s="1"/>
  <c r="R2" i="1" l="1"/>
  <c r="D14" i="2"/>
  <c r="D18" i="2"/>
  <c r="D27" i="2"/>
  <c r="D55" i="2"/>
  <c r="D71" i="2"/>
  <c r="D87" i="2"/>
  <c r="A3" i="2"/>
  <c r="A4" i="2"/>
  <c r="B4" i="2" s="1"/>
  <c r="A5" i="2"/>
  <c r="B5" i="2" s="1"/>
  <c r="A6" i="2"/>
  <c r="B6" i="2" s="1"/>
  <c r="A7" i="2"/>
  <c r="B7" i="2" s="1"/>
  <c r="A8" i="2"/>
  <c r="B8" i="2" s="1"/>
  <c r="A9" i="2"/>
  <c r="B9" i="2" s="1"/>
  <c r="A10" i="2"/>
  <c r="B10" i="2" s="1"/>
  <c r="A11" i="2"/>
  <c r="B11" i="2" s="1"/>
  <c r="A12" i="2"/>
  <c r="A13" i="2"/>
  <c r="A14" i="2"/>
  <c r="A15" i="2"/>
  <c r="D15" i="2" s="1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D44" i="2" s="1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D60" i="2" s="1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2" i="2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N59" i="1"/>
  <c r="O59" i="1"/>
  <c r="P59" i="1"/>
  <c r="Q59" i="1"/>
  <c r="M60" i="1"/>
  <c r="N60" i="1"/>
  <c r="O60" i="1"/>
  <c r="P60" i="1"/>
  <c r="Q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O69" i="1"/>
  <c r="P69" i="1"/>
  <c r="Q69" i="1"/>
  <c r="M70" i="1"/>
  <c r="N70" i="1"/>
  <c r="O70" i="1"/>
  <c r="P70" i="1"/>
  <c r="Q70" i="1"/>
  <c r="M71" i="1"/>
  <c r="N71" i="1"/>
  <c r="O71" i="1"/>
  <c r="P71" i="1"/>
  <c r="Q71" i="1"/>
  <c r="M72" i="1"/>
  <c r="N72" i="1"/>
  <c r="O72" i="1"/>
  <c r="P72" i="1"/>
  <c r="Q72" i="1"/>
  <c r="M73" i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O81" i="1"/>
  <c r="P81" i="1"/>
  <c r="Q81" i="1"/>
  <c r="M82" i="1"/>
  <c r="N82" i="1"/>
  <c r="O82" i="1"/>
  <c r="P82" i="1"/>
  <c r="Q82" i="1"/>
  <c r="M83" i="1"/>
  <c r="N83" i="1"/>
  <c r="O83" i="1"/>
  <c r="P83" i="1"/>
  <c r="Q83" i="1"/>
  <c r="M84" i="1"/>
  <c r="N84" i="1"/>
  <c r="O84" i="1"/>
  <c r="P84" i="1"/>
  <c r="Q84" i="1"/>
  <c r="M85" i="1"/>
  <c r="N85" i="1"/>
  <c r="O85" i="1"/>
  <c r="P85" i="1"/>
  <c r="Q85" i="1"/>
  <c r="M86" i="1"/>
  <c r="N86" i="1"/>
  <c r="O86" i="1"/>
  <c r="P86" i="1"/>
  <c r="Q86" i="1"/>
  <c r="M87" i="1"/>
  <c r="N87" i="1"/>
  <c r="O87" i="1"/>
  <c r="P87" i="1"/>
  <c r="Q87" i="1"/>
  <c r="M88" i="1"/>
  <c r="N88" i="1"/>
  <c r="O88" i="1"/>
  <c r="P88" i="1"/>
  <c r="Q88" i="1"/>
  <c r="M89" i="1"/>
  <c r="N89" i="1"/>
  <c r="O89" i="1"/>
  <c r="P89" i="1"/>
  <c r="Q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O93" i="1"/>
  <c r="P93" i="1"/>
  <c r="Q93" i="1"/>
  <c r="M94" i="1"/>
  <c r="N94" i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O102" i="1"/>
  <c r="P102" i="1"/>
  <c r="Q102" i="1"/>
  <c r="M103" i="1"/>
  <c r="N103" i="1"/>
  <c r="O103" i="1"/>
  <c r="P103" i="1"/>
  <c r="Q103" i="1"/>
  <c r="M104" i="1"/>
  <c r="N104" i="1"/>
  <c r="O104" i="1"/>
  <c r="P104" i="1"/>
  <c r="Q104" i="1"/>
  <c r="M105" i="1"/>
  <c r="N105" i="1"/>
  <c r="O105" i="1"/>
  <c r="P105" i="1"/>
  <c r="Q105" i="1"/>
  <c r="M106" i="1"/>
  <c r="N106" i="1"/>
  <c r="O106" i="1"/>
  <c r="P106" i="1"/>
  <c r="Q106" i="1"/>
  <c r="M107" i="1"/>
  <c r="N107" i="1"/>
  <c r="O107" i="1"/>
  <c r="P107" i="1"/>
  <c r="Q107" i="1"/>
  <c r="M108" i="1"/>
  <c r="N108" i="1"/>
  <c r="O108" i="1"/>
  <c r="P108" i="1"/>
  <c r="Q108" i="1"/>
  <c r="M109" i="1"/>
  <c r="N109" i="1"/>
  <c r="O109" i="1"/>
  <c r="P109" i="1"/>
  <c r="Q109" i="1"/>
  <c r="M110" i="1"/>
  <c r="N110" i="1"/>
  <c r="O110" i="1"/>
  <c r="P110" i="1"/>
  <c r="Q110" i="1"/>
  <c r="M111" i="1"/>
  <c r="N111" i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N114" i="1"/>
  <c r="O114" i="1"/>
  <c r="P114" i="1"/>
  <c r="Q114" i="1"/>
  <c r="M115" i="1"/>
  <c r="N115" i="1"/>
  <c r="O115" i="1"/>
  <c r="P115" i="1"/>
  <c r="Q115" i="1"/>
  <c r="M116" i="1"/>
  <c r="N116" i="1"/>
  <c r="O116" i="1"/>
  <c r="P116" i="1"/>
  <c r="Q116" i="1"/>
  <c r="M117" i="1"/>
  <c r="N117" i="1"/>
  <c r="O117" i="1"/>
  <c r="P117" i="1"/>
  <c r="Q117" i="1"/>
  <c r="M118" i="1"/>
  <c r="N118" i="1"/>
  <c r="O118" i="1"/>
  <c r="P118" i="1"/>
  <c r="Q118" i="1"/>
  <c r="M119" i="1"/>
  <c r="N119" i="1"/>
  <c r="O119" i="1"/>
  <c r="P119" i="1"/>
  <c r="Q119" i="1"/>
  <c r="M120" i="1"/>
  <c r="N120" i="1"/>
  <c r="O120" i="1"/>
  <c r="P120" i="1"/>
  <c r="Q120" i="1"/>
  <c r="M121" i="1"/>
  <c r="N121" i="1"/>
  <c r="O121" i="1"/>
  <c r="P121" i="1"/>
  <c r="Q121" i="1"/>
  <c r="M122" i="1"/>
  <c r="N122" i="1"/>
  <c r="O122" i="1"/>
  <c r="P122" i="1"/>
  <c r="Q122" i="1"/>
  <c r="M123" i="1"/>
  <c r="N123" i="1"/>
  <c r="O123" i="1"/>
  <c r="P123" i="1"/>
  <c r="Q123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Q127" i="1"/>
  <c r="M128" i="1"/>
  <c r="N128" i="1"/>
  <c r="O128" i="1"/>
  <c r="P128" i="1"/>
  <c r="Q128" i="1"/>
  <c r="M129" i="1"/>
  <c r="N129" i="1"/>
  <c r="O129" i="1"/>
  <c r="P129" i="1"/>
  <c r="Q129" i="1"/>
  <c r="M130" i="1"/>
  <c r="N130" i="1"/>
  <c r="O130" i="1"/>
  <c r="P130" i="1"/>
  <c r="Q130" i="1"/>
  <c r="M131" i="1"/>
  <c r="N131" i="1"/>
  <c r="O131" i="1"/>
  <c r="P131" i="1"/>
  <c r="Q131" i="1"/>
  <c r="M132" i="1"/>
  <c r="N132" i="1"/>
  <c r="O132" i="1"/>
  <c r="P132" i="1"/>
  <c r="Q132" i="1"/>
  <c r="M133" i="1"/>
  <c r="N133" i="1"/>
  <c r="O133" i="1"/>
  <c r="P133" i="1"/>
  <c r="Q133" i="1"/>
  <c r="M134" i="1"/>
  <c r="N134" i="1"/>
  <c r="O134" i="1"/>
  <c r="P134" i="1"/>
  <c r="Q134" i="1"/>
  <c r="M135" i="1"/>
  <c r="N135" i="1"/>
  <c r="O135" i="1"/>
  <c r="P135" i="1"/>
  <c r="Q135" i="1"/>
  <c r="M136" i="1"/>
  <c r="N136" i="1"/>
  <c r="O136" i="1"/>
  <c r="P136" i="1"/>
  <c r="Q136" i="1"/>
  <c r="M137" i="1"/>
  <c r="N137" i="1"/>
  <c r="O137" i="1"/>
  <c r="P137" i="1"/>
  <c r="Q137" i="1"/>
  <c r="M138" i="1"/>
  <c r="N138" i="1"/>
  <c r="O138" i="1"/>
  <c r="P138" i="1"/>
  <c r="Q138" i="1"/>
  <c r="M139" i="1"/>
  <c r="N139" i="1"/>
  <c r="O139" i="1"/>
  <c r="P139" i="1"/>
  <c r="Q139" i="1"/>
  <c r="M140" i="1"/>
  <c r="N140" i="1"/>
  <c r="O140" i="1"/>
  <c r="P140" i="1"/>
  <c r="Q140" i="1"/>
  <c r="M141" i="1"/>
  <c r="N141" i="1"/>
  <c r="O141" i="1"/>
  <c r="P141" i="1"/>
  <c r="Q141" i="1"/>
  <c r="M142" i="1"/>
  <c r="N142" i="1"/>
  <c r="O142" i="1"/>
  <c r="P142" i="1"/>
  <c r="Q142" i="1"/>
  <c r="M143" i="1"/>
  <c r="N143" i="1"/>
  <c r="O143" i="1"/>
  <c r="P143" i="1"/>
  <c r="Q143" i="1"/>
  <c r="M144" i="1"/>
  <c r="N144" i="1"/>
  <c r="O144" i="1"/>
  <c r="P144" i="1"/>
  <c r="Q144" i="1"/>
  <c r="M145" i="1"/>
  <c r="N145" i="1"/>
  <c r="O145" i="1"/>
  <c r="P145" i="1"/>
  <c r="Q145" i="1"/>
  <c r="M146" i="1"/>
  <c r="N146" i="1"/>
  <c r="O146" i="1"/>
  <c r="P146" i="1"/>
  <c r="Q146" i="1"/>
  <c r="M147" i="1"/>
  <c r="N147" i="1"/>
  <c r="O147" i="1"/>
  <c r="P147" i="1"/>
  <c r="Q147" i="1"/>
  <c r="M148" i="1"/>
  <c r="N148" i="1"/>
  <c r="O148" i="1"/>
  <c r="P148" i="1"/>
  <c r="Q148" i="1"/>
  <c r="M149" i="1"/>
  <c r="N149" i="1"/>
  <c r="O149" i="1"/>
  <c r="P149" i="1"/>
  <c r="Q149" i="1"/>
  <c r="M150" i="1"/>
  <c r="N150" i="1"/>
  <c r="O150" i="1"/>
  <c r="P150" i="1"/>
  <c r="Q150" i="1"/>
  <c r="M151" i="1"/>
  <c r="N151" i="1"/>
  <c r="O151" i="1"/>
  <c r="P151" i="1"/>
  <c r="Q151" i="1"/>
  <c r="M152" i="1"/>
  <c r="N152" i="1"/>
  <c r="O152" i="1"/>
  <c r="P152" i="1"/>
  <c r="Q152" i="1"/>
  <c r="M153" i="1"/>
  <c r="N153" i="1"/>
  <c r="O153" i="1"/>
  <c r="P153" i="1"/>
  <c r="Q153" i="1"/>
  <c r="M154" i="1"/>
  <c r="N154" i="1"/>
  <c r="O154" i="1"/>
  <c r="P154" i="1"/>
  <c r="Q154" i="1"/>
  <c r="M155" i="1"/>
  <c r="N155" i="1"/>
  <c r="O155" i="1"/>
  <c r="P155" i="1"/>
  <c r="Q155" i="1"/>
  <c r="M156" i="1"/>
  <c r="N156" i="1"/>
  <c r="O156" i="1"/>
  <c r="P156" i="1"/>
  <c r="Q156" i="1"/>
  <c r="M157" i="1"/>
  <c r="N157" i="1"/>
  <c r="O157" i="1"/>
  <c r="P157" i="1"/>
  <c r="Q157" i="1"/>
  <c r="M158" i="1"/>
  <c r="N158" i="1"/>
  <c r="O158" i="1"/>
  <c r="P158" i="1"/>
  <c r="Q158" i="1"/>
  <c r="M159" i="1"/>
  <c r="N159" i="1"/>
  <c r="O159" i="1"/>
  <c r="P159" i="1"/>
  <c r="Q159" i="1"/>
  <c r="M160" i="1"/>
  <c r="N160" i="1"/>
  <c r="O160" i="1"/>
  <c r="P160" i="1"/>
  <c r="Q160" i="1"/>
  <c r="M161" i="1"/>
  <c r="N161" i="1"/>
  <c r="O161" i="1"/>
  <c r="P161" i="1"/>
  <c r="Q161" i="1"/>
  <c r="M162" i="1"/>
  <c r="N162" i="1"/>
  <c r="O162" i="1"/>
  <c r="P162" i="1"/>
  <c r="Q162" i="1"/>
  <c r="M163" i="1"/>
  <c r="N163" i="1"/>
  <c r="O163" i="1"/>
  <c r="P163" i="1"/>
  <c r="Q163" i="1"/>
  <c r="M164" i="1"/>
  <c r="N164" i="1"/>
  <c r="O164" i="1"/>
  <c r="P164" i="1"/>
  <c r="Q164" i="1"/>
  <c r="M165" i="1"/>
  <c r="N165" i="1"/>
  <c r="O165" i="1"/>
  <c r="P165" i="1"/>
  <c r="Q165" i="1"/>
  <c r="M166" i="1"/>
  <c r="N166" i="1"/>
  <c r="O166" i="1"/>
  <c r="P166" i="1"/>
  <c r="Q166" i="1"/>
  <c r="M167" i="1"/>
  <c r="N167" i="1"/>
  <c r="O167" i="1"/>
  <c r="P167" i="1"/>
  <c r="Q167" i="1"/>
  <c r="M168" i="1"/>
  <c r="N168" i="1"/>
  <c r="O168" i="1"/>
  <c r="P168" i="1"/>
  <c r="Q168" i="1"/>
  <c r="M169" i="1"/>
  <c r="N169" i="1"/>
  <c r="O169" i="1"/>
  <c r="P169" i="1"/>
  <c r="Q169" i="1"/>
  <c r="M170" i="1"/>
  <c r="N170" i="1"/>
  <c r="O170" i="1"/>
  <c r="P170" i="1"/>
  <c r="Q170" i="1"/>
  <c r="M171" i="1"/>
  <c r="N171" i="1"/>
  <c r="O171" i="1"/>
  <c r="P171" i="1"/>
  <c r="Q171" i="1"/>
  <c r="M172" i="1"/>
  <c r="N172" i="1"/>
  <c r="O172" i="1"/>
  <c r="P172" i="1"/>
  <c r="Q172" i="1"/>
  <c r="M173" i="1"/>
  <c r="N173" i="1"/>
  <c r="O173" i="1"/>
  <c r="P173" i="1"/>
  <c r="Q173" i="1"/>
  <c r="M174" i="1"/>
  <c r="N174" i="1"/>
  <c r="O174" i="1"/>
  <c r="P174" i="1"/>
  <c r="Q174" i="1"/>
  <c r="M175" i="1"/>
  <c r="N175" i="1"/>
  <c r="O175" i="1"/>
  <c r="P175" i="1"/>
  <c r="Q175" i="1"/>
  <c r="M176" i="1"/>
  <c r="N176" i="1"/>
  <c r="O176" i="1"/>
  <c r="P176" i="1"/>
  <c r="Q176" i="1"/>
  <c r="M177" i="1"/>
  <c r="N177" i="1"/>
  <c r="O177" i="1"/>
  <c r="P177" i="1"/>
  <c r="Q177" i="1"/>
  <c r="M178" i="1"/>
  <c r="N178" i="1"/>
  <c r="O178" i="1"/>
  <c r="P178" i="1"/>
  <c r="Q178" i="1"/>
  <c r="M179" i="1"/>
  <c r="N179" i="1"/>
  <c r="O179" i="1"/>
  <c r="P179" i="1"/>
  <c r="Q179" i="1"/>
  <c r="M180" i="1"/>
  <c r="N180" i="1"/>
  <c r="O180" i="1"/>
  <c r="P180" i="1"/>
  <c r="Q180" i="1"/>
  <c r="M181" i="1"/>
  <c r="N181" i="1"/>
  <c r="O181" i="1"/>
  <c r="P181" i="1"/>
  <c r="Q181" i="1"/>
  <c r="M182" i="1"/>
  <c r="N182" i="1"/>
  <c r="O182" i="1"/>
  <c r="P182" i="1"/>
  <c r="Q182" i="1"/>
  <c r="M183" i="1"/>
  <c r="N183" i="1"/>
  <c r="O183" i="1"/>
  <c r="P183" i="1"/>
  <c r="Q183" i="1"/>
  <c r="M184" i="1"/>
  <c r="N184" i="1"/>
  <c r="O184" i="1"/>
  <c r="P184" i="1"/>
  <c r="Q184" i="1"/>
  <c r="M185" i="1"/>
  <c r="N185" i="1"/>
  <c r="O185" i="1"/>
  <c r="P185" i="1"/>
  <c r="Q185" i="1"/>
  <c r="M186" i="1"/>
  <c r="N186" i="1"/>
  <c r="O186" i="1"/>
  <c r="P186" i="1"/>
  <c r="Q186" i="1"/>
  <c r="M187" i="1"/>
  <c r="N187" i="1"/>
  <c r="O187" i="1"/>
  <c r="P187" i="1"/>
  <c r="Q187" i="1"/>
  <c r="M188" i="1"/>
  <c r="N188" i="1"/>
  <c r="O188" i="1"/>
  <c r="P188" i="1"/>
  <c r="Q188" i="1"/>
  <c r="M189" i="1"/>
  <c r="N189" i="1"/>
  <c r="O189" i="1"/>
  <c r="P189" i="1"/>
  <c r="Q189" i="1"/>
  <c r="M190" i="1"/>
  <c r="N190" i="1"/>
  <c r="O190" i="1"/>
  <c r="P190" i="1"/>
  <c r="Q190" i="1"/>
  <c r="M191" i="1"/>
  <c r="N191" i="1"/>
  <c r="O191" i="1"/>
  <c r="P191" i="1"/>
  <c r="Q191" i="1"/>
  <c r="M192" i="1"/>
  <c r="N192" i="1"/>
  <c r="O192" i="1"/>
  <c r="P192" i="1"/>
  <c r="Q192" i="1"/>
  <c r="M193" i="1"/>
  <c r="N193" i="1"/>
  <c r="O193" i="1"/>
  <c r="P193" i="1"/>
  <c r="Q193" i="1"/>
  <c r="M194" i="1"/>
  <c r="N194" i="1"/>
  <c r="O194" i="1"/>
  <c r="P194" i="1"/>
  <c r="Q194" i="1"/>
  <c r="M195" i="1"/>
  <c r="N195" i="1"/>
  <c r="O195" i="1"/>
  <c r="P195" i="1"/>
  <c r="Q195" i="1"/>
  <c r="M196" i="1"/>
  <c r="N196" i="1"/>
  <c r="O196" i="1"/>
  <c r="P196" i="1"/>
  <c r="Q196" i="1"/>
  <c r="M197" i="1"/>
  <c r="N197" i="1"/>
  <c r="O197" i="1"/>
  <c r="P197" i="1"/>
  <c r="Q197" i="1"/>
  <c r="M198" i="1"/>
  <c r="N198" i="1"/>
  <c r="O198" i="1"/>
  <c r="P198" i="1"/>
  <c r="Q198" i="1"/>
  <c r="M199" i="1"/>
  <c r="N199" i="1"/>
  <c r="O199" i="1"/>
  <c r="P199" i="1"/>
  <c r="Q199" i="1"/>
  <c r="M200" i="1"/>
  <c r="N200" i="1"/>
  <c r="O200" i="1"/>
  <c r="P200" i="1"/>
  <c r="Q200" i="1"/>
  <c r="M201" i="1"/>
  <c r="N201" i="1"/>
  <c r="O201" i="1"/>
  <c r="P201" i="1"/>
  <c r="Q201" i="1"/>
  <c r="M202" i="1"/>
  <c r="N202" i="1"/>
  <c r="O202" i="1"/>
  <c r="P202" i="1"/>
  <c r="Q202" i="1"/>
  <c r="M203" i="1"/>
  <c r="N203" i="1"/>
  <c r="O203" i="1"/>
  <c r="P203" i="1"/>
  <c r="Q203" i="1"/>
  <c r="M204" i="1"/>
  <c r="N204" i="1"/>
  <c r="O204" i="1"/>
  <c r="P204" i="1"/>
  <c r="Q204" i="1"/>
  <c r="M205" i="1"/>
  <c r="N205" i="1"/>
  <c r="O205" i="1"/>
  <c r="P205" i="1"/>
  <c r="Q205" i="1"/>
  <c r="M206" i="1"/>
  <c r="N206" i="1"/>
  <c r="O206" i="1"/>
  <c r="P206" i="1"/>
  <c r="Q206" i="1"/>
  <c r="M207" i="1"/>
  <c r="N207" i="1"/>
  <c r="O207" i="1"/>
  <c r="P207" i="1"/>
  <c r="Q207" i="1"/>
  <c r="M208" i="1"/>
  <c r="N208" i="1"/>
  <c r="O208" i="1"/>
  <c r="P208" i="1"/>
  <c r="Q208" i="1"/>
  <c r="M209" i="1"/>
  <c r="N209" i="1"/>
  <c r="O209" i="1"/>
  <c r="P209" i="1"/>
  <c r="Q209" i="1"/>
  <c r="M210" i="1"/>
  <c r="N210" i="1"/>
  <c r="O210" i="1"/>
  <c r="P210" i="1"/>
  <c r="Q210" i="1"/>
  <c r="M211" i="1"/>
  <c r="N211" i="1"/>
  <c r="O211" i="1"/>
  <c r="P211" i="1"/>
  <c r="Q211" i="1"/>
  <c r="M212" i="1"/>
  <c r="N212" i="1"/>
  <c r="O212" i="1"/>
  <c r="P212" i="1"/>
  <c r="Q212" i="1"/>
  <c r="M213" i="1"/>
  <c r="N213" i="1"/>
  <c r="O213" i="1"/>
  <c r="P213" i="1"/>
  <c r="Q213" i="1"/>
  <c r="M214" i="1"/>
  <c r="N214" i="1"/>
  <c r="O214" i="1"/>
  <c r="P214" i="1"/>
  <c r="Q214" i="1"/>
  <c r="M215" i="1"/>
  <c r="N215" i="1"/>
  <c r="O215" i="1"/>
  <c r="P215" i="1"/>
  <c r="Q215" i="1"/>
  <c r="M216" i="1"/>
  <c r="N216" i="1"/>
  <c r="O216" i="1"/>
  <c r="P216" i="1"/>
  <c r="Q216" i="1"/>
  <c r="M217" i="1"/>
  <c r="N217" i="1"/>
  <c r="O217" i="1"/>
  <c r="P217" i="1"/>
  <c r="Q217" i="1"/>
  <c r="M218" i="1"/>
  <c r="N218" i="1"/>
  <c r="O218" i="1"/>
  <c r="P218" i="1"/>
  <c r="Q218" i="1"/>
  <c r="M219" i="1"/>
  <c r="N219" i="1"/>
  <c r="O219" i="1"/>
  <c r="P219" i="1"/>
  <c r="Q219" i="1"/>
  <c r="M220" i="1"/>
  <c r="N220" i="1"/>
  <c r="O220" i="1"/>
  <c r="P220" i="1"/>
  <c r="Q220" i="1"/>
  <c r="M221" i="1"/>
  <c r="N221" i="1"/>
  <c r="O221" i="1"/>
  <c r="P221" i="1"/>
  <c r="Q221" i="1"/>
  <c r="M222" i="1"/>
  <c r="N222" i="1"/>
  <c r="O222" i="1"/>
  <c r="P222" i="1"/>
  <c r="Q222" i="1"/>
  <c r="M223" i="1"/>
  <c r="N223" i="1"/>
  <c r="O223" i="1"/>
  <c r="P223" i="1"/>
  <c r="Q223" i="1"/>
  <c r="M224" i="1"/>
  <c r="N224" i="1"/>
  <c r="O224" i="1"/>
  <c r="P224" i="1"/>
  <c r="Q224" i="1"/>
  <c r="M225" i="1"/>
  <c r="N225" i="1"/>
  <c r="O225" i="1"/>
  <c r="P225" i="1"/>
  <c r="Q225" i="1"/>
  <c r="M226" i="1"/>
  <c r="N226" i="1"/>
  <c r="O226" i="1"/>
  <c r="P226" i="1"/>
  <c r="Q226" i="1"/>
  <c r="M227" i="1"/>
  <c r="N227" i="1"/>
  <c r="O227" i="1"/>
  <c r="P227" i="1"/>
  <c r="Q227" i="1"/>
  <c r="M228" i="1"/>
  <c r="N228" i="1"/>
  <c r="O228" i="1"/>
  <c r="P228" i="1"/>
  <c r="Q228" i="1"/>
  <c r="M229" i="1"/>
  <c r="N229" i="1"/>
  <c r="O229" i="1"/>
  <c r="P229" i="1"/>
  <c r="Q229" i="1"/>
  <c r="M230" i="1"/>
  <c r="N230" i="1"/>
  <c r="O230" i="1"/>
  <c r="P230" i="1"/>
  <c r="Q230" i="1"/>
  <c r="M231" i="1"/>
  <c r="N231" i="1"/>
  <c r="O231" i="1"/>
  <c r="P231" i="1"/>
  <c r="Q231" i="1"/>
  <c r="M232" i="1"/>
  <c r="N232" i="1"/>
  <c r="O232" i="1"/>
  <c r="P232" i="1"/>
  <c r="Q232" i="1"/>
  <c r="M233" i="1"/>
  <c r="N233" i="1"/>
  <c r="O233" i="1"/>
  <c r="P233" i="1"/>
  <c r="Q233" i="1"/>
  <c r="M234" i="1"/>
  <c r="N234" i="1"/>
  <c r="O234" i="1"/>
  <c r="P234" i="1"/>
  <c r="Q234" i="1"/>
  <c r="M235" i="1"/>
  <c r="N235" i="1"/>
  <c r="O235" i="1"/>
  <c r="P235" i="1"/>
  <c r="Q235" i="1"/>
  <c r="M236" i="1"/>
  <c r="N236" i="1"/>
  <c r="O236" i="1"/>
  <c r="P236" i="1"/>
  <c r="Q236" i="1"/>
  <c r="M237" i="1"/>
  <c r="N237" i="1"/>
  <c r="O237" i="1"/>
  <c r="P237" i="1"/>
  <c r="Q237" i="1"/>
  <c r="M238" i="1"/>
  <c r="N238" i="1"/>
  <c r="O238" i="1"/>
  <c r="P238" i="1"/>
  <c r="Q238" i="1"/>
  <c r="M239" i="1"/>
  <c r="N239" i="1"/>
  <c r="O239" i="1"/>
  <c r="P239" i="1"/>
  <c r="Q239" i="1"/>
  <c r="M240" i="1"/>
  <c r="N240" i="1"/>
  <c r="O240" i="1"/>
  <c r="P240" i="1"/>
  <c r="Q240" i="1"/>
  <c r="M241" i="1"/>
  <c r="N241" i="1"/>
  <c r="O241" i="1"/>
  <c r="P241" i="1"/>
  <c r="Q241" i="1"/>
  <c r="M242" i="1"/>
  <c r="N242" i="1"/>
  <c r="O242" i="1"/>
  <c r="P242" i="1"/>
  <c r="Q242" i="1"/>
  <c r="M243" i="1"/>
  <c r="N243" i="1"/>
  <c r="O243" i="1"/>
  <c r="P243" i="1"/>
  <c r="Q243" i="1"/>
  <c r="M244" i="1"/>
  <c r="N244" i="1"/>
  <c r="O244" i="1"/>
  <c r="P244" i="1"/>
  <c r="Q244" i="1"/>
  <c r="M245" i="1"/>
  <c r="N245" i="1"/>
  <c r="O245" i="1"/>
  <c r="P245" i="1"/>
  <c r="Q245" i="1"/>
  <c r="M246" i="1"/>
  <c r="N246" i="1"/>
  <c r="O246" i="1"/>
  <c r="P246" i="1"/>
  <c r="Q246" i="1"/>
  <c r="M247" i="1"/>
  <c r="N247" i="1"/>
  <c r="O247" i="1"/>
  <c r="P247" i="1"/>
  <c r="Q247" i="1"/>
  <c r="M248" i="1"/>
  <c r="N248" i="1"/>
  <c r="O248" i="1"/>
  <c r="P248" i="1"/>
  <c r="Q248" i="1"/>
  <c r="M249" i="1"/>
  <c r="N249" i="1"/>
  <c r="O249" i="1"/>
  <c r="P249" i="1"/>
  <c r="Q249" i="1"/>
  <c r="M250" i="1"/>
  <c r="N250" i="1"/>
  <c r="O250" i="1"/>
  <c r="P250" i="1"/>
  <c r="Q250" i="1"/>
  <c r="M251" i="1"/>
  <c r="N251" i="1"/>
  <c r="O251" i="1"/>
  <c r="P251" i="1"/>
  <c r="Q251" i="1"/>
  <c r="M252" i="1"/>
  <c r="N252" i="1"/>
  <c r="O252" i="1"/>
  <c r="P252" i="1"/>
  <c r="Q252" i="1"/>
  <c r="M253" i="1"/>
  <c r="N253" i="1"/>
  <c r="O253" i="1"/>
  <c r="P253" i="1"/>
  <c r="Q253" i="1"/>
  <c r="M254" i="1"/>
  <c r="N254" i="1"/>
  <c r="O254" i="1"/>
  <c r="P254" i="1"/>
  <c r="Q254" i="1"/>
  <c r="M255" i="1"/>
  <c r="N255" i="1"/>
  <c r="O255" i="1"/>
  <c r="P255" i="1"/>
  <c r="Q255" i="1"/>
  <c r="M256" i="1"/>
  <c r="N256" i="1"/>
  <c r="O256" i="1"/>
  <c r="P256" i="1"/>
  <c r="Q256" i="1"/>
  <c r="M257" i="1"/>
  <c r="N257" i="1"/>
  <c r="O257" i="1"/>
  <c r="P257" i="1"/>
  <c r="Q257" i="1"/>
  <c r="M258" i="1"/>
  <c r="N258" i="1"/>
  <c r="O258" i="1"/>
  <c r="P258" i="1"/>
  <c r="Q258" i="1"/>
  <c r="M259" i="1"/>
  <c r="N259" i="1"/>
  <c r="O259" i="1"/>
  <c r="P259" i="1"/>
  <c r="Q259" i="1"/>
  <c r="M260" i="1"/>
  <c r="N260" i="1"/>
  <c r="O260" i="1"/>
  <c r="P260" i="1"/>
  <c r="Q260" i="1"/>
  <c r="M261" i="1"/>
  <c r="N261" i="1"/>
  <c r="O261" i="1"/>
  <c r="P261" i="1"/>
  <c r="Q261" i="1"/>
  <c r="M262" i="1"/>
  <c r="N262" i="1"/>
  <c r="O262" i="1"/>
  <c r="P262" i="1"/>
  <c r="Q262" i="1"/>
  <c r="M263" i="1"/>
  <c r="N263" i="1"/>
  <c r="O263" i="1"/>
  <c r="P263" i="1"/>
  <c r="Q263" i="1"/>
  <c r="M264" i="1"/>
  <c r="N264" i="1"/>
  <c r="O264" i="1"/>
  <c r="P264" i="1"/>
  <c r="Q264" i="1"/>
  <c r="M265" i="1"/>
  <c r="N265" i="1"/>
  <c r="O265" i="1"/>
  <c r="P265" i="1"/>
  <c r="Q265" i="1"/>
  <c r="M266" i="1"/>
  <c r="N266" i="1"/>
  <c r="O266" i="1"/>
  <c r="P266" i="1"/>
  <c r="Q266" i="1"/>
  <c r="M267" i="1"/>
  <c r="N267" i="1"/>
  <c r="O267" i="1"/>
  <c r="P267" i="1"/>
  <c r="Q267" i="1"/>
  <c r="M268" i="1"/>
  <c r="N268" i="1"/>
  <c r="O268" i="1"/>
  <c r="P268" i="1"/>
  <c r="Q268" i="1"/>
  <c r="M269" i="1"/>
  <c r="N269" i="1"/>
  <c r="O269" i="1"/>
  <c r="P269" i="1"/>
  <c r="Q269" i="1"/>
  <c r="M270" i="1"/>
  <c r="N270" i="1"/>
  <c r="O270" i="1"/>
  <c r="P270" i="1"/>
  <c r="Q270" i="1"/>
  <c r="M271" i="1"/>
  <c r="N271" i="1"/>
  <c r="O271" i="1"/>
  <c r="P271" i="1"/>
  <c r="Q271" i="1"/>
  <c r="M272" i="1"/>
  <c r="N272" i="1"/>
  <c r="O272" i="1"/>
  <c r="P272" i="1"/>
  <c r="Q272" i="1"/>
  <c r="M273" i="1"/>
  <c r="N273" i="1"/>
  <c r="O273" i="1"/>
  <c r="P273" i="1"/>
  <c r="Q273" i="1"/>
  <c r="M274" i="1"/>
  <c r="N274" i="1"/>
  <c r="O274" i="1"/>
  <c r="P274" i="1"/>
  <c r="Q274" i="1"/>
  <c r="M275" i="1"/>
  <c r="N275" i="1"/>
  <c r="O275" i="1"/>
  <c r="P275" i="1"/>
  <c r="Q275" i="1"/>
  <c r="M276" i="1"/>
  <c r="N276" i="1"/>
  <c r="O276" i="1"/>
  <c r="P276" i="1"/>
  <c r="Q276" i="1"/>
  <c r="M277" i="1"/>
  <c r="N277" i="1"/>
  <c r="O277" i="1"/>
  <c r="P277" i="1"/>
  <c r="Q277" i="1"/>
  <c r="M278" i="1"/>
  <c r="N278" i="1"/>
  <c r="O278" i="1"/>
  <c r="P278" i="1"/>
  <c r="Q278" i="1"/>
  <c r="M279" i="1"/>
  <c r="N279" i="1"/>
  <c r="O279" i="1"/>
  <c r="P279" i="1"/>
  <c r="Q279" i="1"/>
  <c r="M280" i="1"/>
  <c r="N280" i="1"/>
  <c r="O280" i="1"/>
  <c r="P280" i="1"/>
  <c r="Q280" i="1"/>
  <c r="M281" i="1"/>
  <c r="N281" i="1"/>
  <c r="O281" i="1"/>
  <c r="P281" i="1"/>
  <c r="Q281" i="1"/>
  <c r="M282" i="1"/>
  <c r="N282" i="1"/>
  <c r="O282" i="1"/>
  <c r="P282" i="1"/>
  <c r="Q282" i="1"/>
  <c r="M283" i="1"/>
  <c r="N283" i="1"/>
  <c r="O283" i="1"/>
  <c r="P283" i="1"/>
  <c r="Q283" i="1"/>
  <c r="M284" i="1"/>
  <c r="N284" i="1"/>
  <c r="O284" i="1"/>
  <c r="P284" i="1"/>
  <c r="Q284" i="1"/>
  <c r="M285" i="1"/>
  <c r="N285" i="1"/>
  <c r="O285" i="1"/>
  <c r="P285" i="1"/>
  <c r="Q285" i="1"/>
  <c r="M286" i="1"/>
  <c r="N286" i="1"/>
  <c r="O286" i="1"/>
  <c r="P286" i="1"/>
  <c r="Q286" i="1"/>
  <c r="M287" i="1"/>
  <c r="N287" i="1"/>
  <c r="O287" i="1"/>
  <c r="P287" i="1"/>
  <c r="Q287" i="1"/>
  <c r="M288" i="1"/>
  <c r="N288" i="1"/>
  <c r="O288" i="1"/>
  <c r="P288" i="1"/>
  <c r="Q288" i="1"/>
  <c r="M289" i="1"/>
  <c r="N289" i="1"/>
  <c r="O289" i="1"/>
  <c r="P289" i="1"/>
  <c r="Q289" i="1"/>
  <c r="M290" i="1"/>
  <c r="N290" i="1"/>
  <c r="O290" i="1"/>
  <c r="P290" i="1"/>
  <c r="Q290" i="1"/>
  <c r="M291" i="1"/>
  <c r="N291" i="1"/>
  <c r="O291" i="1"/>
  <c r="P291" i="1"/>
  <c r="Q291" i="1"/>
  <c r="M292" i="1"/>
  <c r="N292" i="1"/>
  <c r="O292" i="1"/>
  <c r="P292" i="1"/>
  <c r="Q292" i="1"/>
  <c r="M293" i="1"/>
  <c r="N293" i="1"/>
  <c r="O293" i="1"/>
  <c r="P293" i="1"/>
  <c r="Q293" i="1"/>
  <c r="M294" i="1"/>
  <c r="N294" i="1"/>
  <c r="O294" i="1"/>
  <c r="P294" i="1"/>
  <c r="Q294" i="1"/>
  <c r="M295" i="1"/>
  <c r="N295" i="1"/>
  <c r="O295" i="1"/>
  <c r="P295" i="1"/>
  <c r="Q295" i="1"/>
  <c r="M296" i="1"/>
  <c r="N296" i="1"/>
  <c r="O296" i="1"/>
  <c r="P296" i="1"/>
  <c r="Q296" i="1"/>
  <c r="M297" i="1"/>
  <c r="N297" i="1"/>
  <c r="O297" i="1"/>
  <c r="P297" i="1"/>
  <c r="Q297" i="1"/>
  <c r="M298" i="1"/>
  <c r="N298" i="1"/>
  <c r="O298" i="1"/>
  <c r="P298" i="1"/>
  <c r="Q298" i="1"/>
  <c r="M299" i="1"/>
  <c r="N299" i="1"/>
  <c r="O299" i="1"/>
  <c r="P299" i="1"/>
  <c r="Q299" i="1"/>
  <c r="M300" i="1"/>
  <c r="N300" i="1"/>
  <c r="O300" i="1"/>
  <c r="P300" i="1"/>
  <c r="Q300" i="1"/>
  <c r="M301" i="1"/>
  <c r="N301" i="1"/>
  <c r="O301" i="1"/>
  <c r="P301" i="1"/>
  <c r="Q301" i="1"/>
  <c r="M302" i="1"/>
  <c r="N302" i="1"/>
  <c r="O302" i="1"/>
  <c r="P302" i="1"/>
  <c r="Q302" i="1"/>
  <c r="M303" i="1"/>
  <c r="N303" i="1"/>
  <c r="O303" i="1"/>
  <c r="P303" i="1"/>
  <c r="Q303" i="1"/>
  <c r="M304" i="1"/>
  <c r="N304" i="1"/>
  <c r="O304" i="1"/>
  <c r="P304" i="1"/>
  <c r="Q304" i="1"/>
  <c r="M305" i="1"/>
  <c r="N305" i="1"/>
  <c r="O305" i="1"/>
  <c r="P305" i="1"/>
  <c r="Q305" i="1"/>
  <c r="M306" i="1"/>
  <c r="N306" i="1"/>
  <c r="O306" i="1"/>
  <c r="P306" i="1"/>
  <c r="Q306" i="1"/>
  <c r="M307" i="1"/>
  <c r="N307" i="1"/>
  <c r="O307" i="1"/>
  <c r="P307" i="1"/>
  <c r="Q307" i="1"/>
  <c r="M308" i="1"/>
  <c r="N308" i="1"/>
  <c r="O308" i="1"/>
  <c r="P308" i="1"/>
  <c r="Q308" i="1"/>
  <c r="M309" i="1"/>
  <c r="N309" i="1"/>
  <c r="O309" i="1"/>
  <c r="P309" i="1"/>
  <c r="Q309" i="1"/>
  <c r="M310" i="1"/>
  <c r="N310" i="1"/>
  <c r="O310" i="1"/>
  <c r="P310" i="1"/>
  <c r="Q310" i="1"/>
  <c r="M311" i="1"/>
  <c r="N311" i="1"/>
  <c r="O311" i="1"/>
  <c r="P311" i="1"/>
  <c r="Q311" i="1"/>
  <c r="M312" i="1"/>
  <c r="N312" i="1"/>
  <c r="O312" i="1"/>
  <c r="P312" i="1"/>
  <c r="Q312" i="1"/>
  <c r="M313" i="1"/>
  <c r="N313" i="1"/>
  <c r="O313" i="1"/>
  <c r="P313" i="1"/>
  <c r="Q313" i="1"/>
  <c r="M314" i="1"/>
  <c r="N314" i="1"/>
  <c r="O314" i="1"/>
  <c r="P314" i="1"/>
  <c r="Q314" i="1"/>
  <c r="M315" i="1"/>
  <c r="N315" i="1"/>
  <c r="O315" i="1"/>
  <c r="P315" i="1"/>
  <c r="Q315" i="1"/>
  <c r="M316" i="1"/>
  <c r="N316" i="1"/>
  <c r="O316" i="1"/>
  <c r="P316" i="1"/>
  <c r="Q316" i="1"/>
  <c r="M317" i="1"/>
  <c r="N317" i="1"/>
  <c r="O317" i="1"/>
  <c r="P317" i="1"/>
  <c r="Q317" i="1"/>
  <c r="M318" i="1"/>
  <c r="N318" i="1"/>
  <c r="O318" i="1"/>
  <c r="P318" i="1"/>
  <c r="Q318" i="1"/>
  <c r="M319" i="1"/>
  <c r="N319" i="1"/>
  <c r="O319" i="1"/>
  <c r="P319" i="1"/>
  <c r="Q319" i="1"/>
  <c r="M320" i="1"/>
  <c r="N320" i="1"/>
  <c r="O320" i="1"/>
  <c r="P320" i="1"/>
  <c r="Q320" i="1"/>
  <c r="M321" i="1"/>
  <c r="N321" i="1"/>
  <c r="O321" i="1"/>
  <c r="P321" i="1"/>
  <c r="Q321" i="1"/>
  <c r="M322" i="1"/>
  <c r="N322" i="1"/>
  <c r="O322" i="1"/>
  <c r="P322" i="1"/>
  <c r="Q322" i="1"/>
  <c r="M323" i="1"/>
  <c r="N323" i="1"/>
  <c r="O323" i="1"/>
  <c r="P323" i="1"/>
  <c r="Q323" i="1"/>
  <c r="M324" i="1"/>
  <c r="N324" i="1"/>
  <c r="O324" i="1"/>
  <c r="P324" i="1"/>
  <c r="Q324" i="1"/>
  <c r="M325" i="1"/>
  <c r="N325" i="1"/>
  <c r="O325" i="1"/>
  <c r="P325" i="1"/>
  <c r="Q325" i="1"/>
  <c r="M326" i="1"/>
  <c r="N326" i="1"/>
  <c r="O326" i="1"/>
  <c r="P326" i="1"/>
  <c r="Q326" i="1"/>
  <c r="M327" i="1"/>
  <c r="N327" i="1"/>
  <c r="O327" i="1"/>
  <c r="P327" i="1"/>
  <c r="Q327" i="1"/>
  <c r="M328" i="1"/>
  <c r="N328" i="1"/>
  <c r="O328" i="1"/>
  <c r="P328" i="1"/>
  <c r="Q328" i="1"/>
  <c r="M329" i="1"/>
  <c r="N329" i="1"/>
  <c r="O329" i="1"/>
  <c r="P329" i="1"/>
  <c r="Q329" i="1"/>
  <c r="M330" i="1"/>
  <c r="N330" i="1"/>
  <c r="O330" i="1"/>
  <c r="P330" i="1"/>
  <c r="Q330" i="1"/>
  <c r="M331" i="1"/>
  <c r="N331" i="1"/>
  <c r="O331" i="1"/>
  <c r="P331" i="1"/>
  <c r="Q331" i="1"/>
  <c r="M332" i="1"/>
  <c r="N332" i="1"/>
  <c r="O332" i="1"/>
  <c r="P332" i="1"/>
  <c r="Q332" i="1"/>
  <c r="M333" i="1"/>
  <c r="N333" i="1"/>
  <c r="O333" i="1"/>
  <c r="P333" i="1"/>
  <c r="Q333" i="1"/>
  <c r="M334" i="1"/>
  <c r="N334" i="1"/>
  <c r="O334" i="1"/>
  <c r="P334" i="1"/>
  <c r="Q334" i="1"/>
  <c r="M335" i="1"/>
  <c r="N335" i="1"/>
  <c r="O335" i="1"/>
  <c r="P335" i="1"/>
  <c r="Q335" i="1"/>
  <c r="M336" i="1"/>
  <c r="N336" i="1"/>
  <c r="O336" i="1"/>
  <c r="P336" i="1"/>
  <c r="Q336" i="1"/>
  <c r="M337" i="1"/>
  <c r="N337" i="1"/>
  <c r="O337" i="1"/>
  <c r="P337" i="1"/>
  <c r="Q337" i="1"/>
  <c r="M338" i="1"/>
  <c r="N338" i="1"/>
  <c r="O338" i="1"/>
  <c r="P338" i="1"/>
  <c r="Q338" i="1"/>
  <c r="M339" i="1"/>
  <c r="N339" i="1"/>
  <c r="O339" i="1"/>
  <c r="P339" i="1"/>
  <c r="Q339" i="1"/>
  <c r="M340" i="1"/>
  <c r="N340" i="1"/>
  <c r="O340" i="1"/>
  <c r="P340" i="1"/>
  <c r="Q340" i="1"/>
  <c r="M341" i="1"/>
  <c r="N341" i="1"/>
  <c r="O341" i="1"/>
  <c r="P341" i="1"/>
  <c r="Q341" i="1"/>
  <c r="M342" i="1"/>
  <c r="N342" i="1"/>
  <c r="O342" i="1"/>
  <c r="P342" i="1"/>
  <c r="Q342" i="1"/>
  <c r="M343" i="1"/>
  <c r="N343" i="1"/>
  <c r="O343" i="1"/>
  <c r="P343" i="1"/>
  <c r="Q343" i="1"/>
  <c r="M344" i="1"/>
  <c r="N344" i="1"/>
  <c r="O344" i="1"/>
  <c r="P344" i="1"/>
  <c r="Q344" i="1"/>
  <c r="M345" i="1"/>
  <c r="N345" i="1"/>
  <c r="O345" i="1"/>
  <c r="P345" i="1"/>
  <c r="Q345" i="1"/>
  <c r="M346" i="1"/>
  <c r="N346" i="1"/>
  <c r="O346" i="1"/>
  <c r="P346" i="1"/>
  <c r="Q346" i="1"/>
  <c r="M347" i="1"/>
  <c r="N347" i="1"/>
  <c r="O347" i="1"/>
  <c r="P347" i="1"/>
  <c r="Q347" i="1"/>
  <c r="M348" i="1"/>
  <c r="N348" i="1"/>
  <c r="O348" i="1"/>
  <c r="P348" i="1"/>
  <c r="Q348" i="1"/>
  <c r="M349" i="1"/>
  <c r="N349" i="1"/>
  <c r="O349" i="1"/>
  <c r="P349" i="1"/>
  <c r="Q349" i="1"/>
  <c r="M350" i="1"/>
  <c r="N350" i="1"/>
  <c r="O350" i="1"/>
  <c r="P350" i="1"/>
  <c r="Q350" i="1"/>
  <c r="M351" i="1"/>
  <c r="N351" i="1"/>
  <c r="O351" i="1"/>
  <c r="P351" i="1"/>
  <c r="Q351" i="1"/>
  <c r="M352" i="1"/>
  <c r="N352" i="1"/>
  <c r="O352" i="1"/>
  <c r="P352" i="1"/>
  <c r="Q352" i="1"/>
  <c r="M353" i="1"/>
  <c r="N353" i="1"/>
  <c r="O353" i="1"/>
  <c r="P353" i="1"/>
  <c r="Q353" i="1"/>
  <c r="M354" i="1"/>
  <c r="N354" i="1"/>
  <c r="O354" i="1"/>
  <c r="P354" i="1"/>
  <c r="Q354" i="1"/>
  <c r="M355" i="1"/>
  <c r="N355" i="1"/>
  <c r="O355" i="1"/>
  <c r="P355" i="1"/>
  <c r="Q355" i="1"/>
  <c r="M356" i="1"/>
  <c r="N356" i="1"/>
  <c r="O356" i="1"/>
  <c r="P356" i="1"/>
  <c r="Q356" i="1"/>
  <c r="M357" i="1"/>
  <c r="N357" i="1"/>
  <c r="O357" i="1"/>
  <c r="P357" i="1"/>
  <c r="Q357" i="1"/>
  <c r="M358" i="1"/>
  <c r="N358" i="1"/>
  <c r="O358" i="1"/>
  <c r="P358" i="1"/>
  <c r="Q358" i="1"/>
  <c r="M359" i="1"/>
  <c r="N359" i="1"/>
  <c r="O359" i="1"/>
  <c r="P359" i="1"/>
  <c r="Q359" i="1"/>
  <c r="M360" i="1"/>
  <c r="N360" i="1"/>
  <c r="O360" i="1"/>
  <c r="P360" i="1"/>
  <c r="Q360" i="1"/>
  <c r="M361" i="1"/>
  <c r="N361" i="1"/>
  <c r="O361" i="1"/>
  <c r="P361" i="1"/>
  <c r="Q361" i="1"/>
  <c r="M362" i="1"/>
  <c r="N362" i="1"/>
  <c r="O362" i="1"/>
  <c r="P362" i="1"/>
  <c r="Q362" i="1"/>
  <c r="M363" i="1"/>
  <c r="N363" i="1"/>
  <c r="O363" i="1"/>
  <c r="P363" i="1"/>
  <c r="Q363" i="1"/>
  <c r="M364" i="1"/>
  <c r="N364" i="1"/>
  <c r="O364" i="1"/>
  <c r="P364" i="1"/>
  <c r="Q364" i="1"/>
  <c r="M365" i="1"/>
  <c r="N365" i="1"/>
  <c r="O365" i="1"/>
  <c r="P365" i="1"/>
  <c r="Q365" i="1"/>
  <c r="M366" i="1"/>
  <c r="N366" i="1"/>
  <c r="O366" i="1"/>
  <c r="P366" i="1"/>
  <c r="Q366" i="1"/>
  <c r="M367" i="1"/>
  <c r="N367" i="1"/>
  <c r="O367" i="1"/>
  <c r="P367" i="1"/>
  <c r="Q367" i="1"/>
  <c r="M368" i="1"/>
  <c r="N368" i="1"/>
  <c r="O368" i="1"/>
  <c r="P368" i="1"/>
  <c r="Q368" i="1"/>
  <c r="M369" i="1"/>
  <c r="N369" i="1"/>
  <c r="O369" i="1"/>
  <c r="P369" i="1"/>
  <c r="Q369" i="1"/>
  <c r="M370" i="1"/>
  <c r="N370" i="1"/>
  <c r="O370" i="1"/>
  <c r="P370" i="1"/>
  <c r="Q370" i="1"/>
  <c r="M371" i="1"/>
  <c r="N371" i="1"/>
  <c r="O371" i="1"/>
  <c r="P371" i="1"/>
  <c r="Q371" i="1"/>
  <c r="M372" i="1"/>
  <c r="N372" i="1"/>
  <c r="O372" i="1"/>
  <c r="P372" i="1"/>
  <c r="Q372" i="1"/>
  <c r="M373" i="1"/>
  <c r="N373" i="1"/>
  <c r="O373" i="1"/>
  <c r="P373" i="1"/>
  <c r="Q373" i="1"/>
  <c r="M374" i="1"/>
  <c r="N374" i="1"/>
  <c r="O374" i="1"/>
  <c r="P374" i="1"/>
  <c r="Q374" i="1"/>
  <c r="M375" i="1"/>
  <c r="N375" i="1"/>
  <c r="O375" i="1"/>
  <c r="P375" i="1"/>
  <c r="Q375" i="1"/>
  <c r="M376" i="1"/>
  <c r="N376" i="1"/>
  <c r="O376" i="1"/>
  <c r="P376" i="1"/>
  <c r="Q376" i="1"/>
  <c r="M377" i="1"/>
  <c r="N377" i="1"/>
  <c r="O377" i="1"/>
  <c r="P377" i="1"/>
  <c r="Q377" i="1"/>
  <c r="M378" i="1"/>
  <c r="N378" i="1"/>
  <c r="O378" i="1"/>
  <c r="P378" i="1"/>
  <c r="Q378" i="1"/>
  <c r="M379" i="1"/>
  <c r="N379" i="1"/>
  <c r="O379" i="1"/>
  <c r="P379" i="1"/>
  <c r="Q379" i="1"/>
  <c r="M380" i="1"/>
  <c r="N380" i="1"/>
  <c r="O380" i="1"/>
  <c r="P380" i="1"/>
  <c r="Q380" i="1"/>
  <c r="M2" i="1"/>
  <c r="R3" i="1"/>
  <c r="H3" i="1"/>
  <c r="H2" i="1"/>
  <c r="F3" i="1"/>
  <c r="F2" i="1"/>
  <c r="F93" i="2" l="1"/>
  <c r="B93" i="2"/>
  <c r="F77" i="2"/>
  <c r="B77" i="2"/>
  <c r="F61" i="2"/>
  <c r="B61" i="2"/>
  <c r="F45" i="2"/>
  <c r="B45" i="2"/>
  <c r="F29" i="2"/>
  <c r="B29" i="2"/>
  <c r="F13" i="2"/>
  <c r="B13" i="2"/>
  <c r="F92" i="2"/>
  <c r="B92" i="2"/>
  <c r="F91" i="2"/>
  <c r="B91" i="2"/>
  <c r="F75" i="2"/>
  <c r="B75" i="2"/>
  <c r="F59" i="2"/>
  <c r="B59" i="2"/>
  <c r="F43" i="2"/>
  <c r="B43" i="2"/>
  <c r="F27" i="2"/>
  <c r="B27" i="2"/>
  <c r="D59" i="2"/>
  <c r="F12" i="2"/>
  <c r="B12" i="2"/>
  <c r="F90" i="2"/>
  <c r="B90" i="2"/>
  <c r="F74" i="2"/>
  <c r="B74" i="2"/>
  <c r="F58" i="2"/>
  <c r="B58" i="2"/>
  <c r="F42" i="2"/>
  <c r="B42" i="2"/>
  <c r="F26" i="2"/>
  <c r="B26" i="2"/>
  <c r="F28" i="2"/>
  <c r="B28" i="2"/>
  <c r="F89" i="2"/>
  <c r="B89" i="2"/>
  <c r="F73" i="2"/>
  <c r="B73" i="2"/>
  <c r="F57" i="2"/>
  <c r="B57" i="2"/>
  <c r="F41" i="2"/>
  <c r="B41" i="2"/>
  <c r="F25" i="2"/>
  <c r="B25" i="2"/>
  <c r="F60" i="2"/>
  <c r="B60" i="2"/>
  <c r="F72" i="2"/>
  <c r="B72" i="2"/>
  <c r="F56" i="2"/>
  <c r="B56" i="2"/>
  <c r="D43" i="2"/>
  <c r="F44" i="2"/>
  <c r="B44" i="2"/>
  <c r="F88" i="2"/>
  <c r="B88" i="2"/>
  <c r="F24" i="2"/>
  <c r="B24" i="2"/>
  <c r="F87" i="2"/>
  <c r="B87" i="2"/>
  <c r="F71" i="2"/>
  <c r="B71" i="2"/>
  <c r="F55" i="2"/>
  <c r="B55" i="2"/>
  <c r="F39" i="2"/>
  <c r="B39" i="2"/>
  <c r="F23" i="2"/>
  <c r="B23" i="2"/>
  <c r="D39" i="2"/>
  <c r="F76" i="2"/>
  <c r="B76" i="2"/>
  <c r="F40" i="2"/>
  <c r="B40" i="2"/>
  <c r="F86" i="2"/>
  <c r="B86" i="2"/>
  <c r="F70" i="2"/>
  <c r="B70" i="2"/>
  <c r="F54" i="2"/>
  <c r="B54" i="2"/>
  <c r="F38" i="2"/>
  <c r="B38" i="2"/>
  <c r="F22" i="2"/>
  <c r="B22" i="2"/>
  <c r="D28" i="2"/>
  <c r="F85" i="2"/>
  <c r="B85" i="2"/>
  <c r="F53" i="2"/>
  <c r="B53" i="2"/>
  <c r="F37" i="2"/>
  <c r="B37" i="2"/>
  <c r="F21" i="2"/>
  <c r="B21" i="2"/>
  <c r="D100" i="2"/>
  <c r="B100" i="2"/>
  <c r="F84" i="2"/>
  <c r="B84" i="2"/>
  <c r="F68" i="2"/>
  <c r="B68" i="2"/>
  <c r="F52" i="2"/>
  <c r="B52" i="2"/>
  <c r="F36" i="2"/>
  <c r="B36" i="2"/>
  <c r="F20" i="2"/>
  <c r="B20" i="2"/>
  <c r="D23" i="2"/>
  <c r="F69" i="2"/>
  <c r="B69" i="2"/>
  <c r="D99" i="2"/>
  <c r="B99" i="2"/>
  <c r="F83" i="2"/>
  <c r="B83" i="2"/>
  <c r="F67" i="2"/>
  <c r="B67" i="2"/>
  <c r="F51" i="2"/>
  <c r="B51" i="2"/>
  <c r="F35" i="2"/>
  <c r="B35" i="2"/>
  <c r="F19" i="2"/>
  <c r="B19" i="2"/>
  <c r="G3" i="2"/>
  <c r="B3" i="2"/>
  <c r="F98" i="2"/>
  <c r="B98" i="2"/>
  <c r="F82" i="2"/>
  <c r="B82" i="2"/>
  <c r="F66" i="2"/>
  <c r="B66" i="2"/>
  <c r="F50" i="2"/>
  <c r="B50" i="2"/>
  <c r="F34" i="2"/>
  <c r="B34" i="2"/>
  <c r="F18" i="2"/>
  <c r="B18" i="2"/>
  <c r="D92" i="2"/>
  <c r="D97" i="2"/>
  <c r="B97" i="2"/>
  <c r="F65" i="2"/>
  <c r="B65" i="2"/>
  <c r="F49" i="2"/>
  <c r="B49" i="2"/>
  <c r="F33" i="2"/>
  <c r="B33" i="2"/>
  <c r="F17" i="2"/>
  <c r="B17" i="2"/>
  <c r="D91" i="2"/>
  <c r="F32" i="2"/>
  <c r="B32" i="2"/>
  <c r="D3" i="2"/>
  <c r="F96" i="2"/>
  <c r="B96" i="2"/>
  <c r="F16" i="2"/>
  <c r="B16" i="2"/>
  <c r="F95" i="2"/>
  <c r="B95" i="2"/>
  <c r="F79" i="2"/>
  <c r="B79" i="2"/>
  <c r="F63" i="2"/>
  <c r="B63" i="2"/>
  <c r="F47" i="2"/>
  <c r="B47" i="2"/>
  <c r="F31" i="2"/>
  <c r="B31" i="2"/>
  <c r="F15" i="2"/>
  <c r="B15" i="2"/>
  <c r="D76" i="2"/>
  <c r="F81" i="2"/>
  <c r="B81" i="2"/>
  <c r="F80" i="2"/>
  <c r="B80" i="2"/>
  <c r="F64" i="2"/>
  <c r="B64" i="2"/>
  <c r="F48" i="2"/>
  <c r="B48" i="2"/>
  <c r="F94" i="2"/>
  <c r="B94" i="2"/>
  <c r="F78" i="2"/>
  <c r="B78" i="2"/>
  <c r="F62" i="2"/>
  <c r="B62" i="2"/>
  <c r="F46" i="2"/>
  <c r="B46" i="2"/>
  <c r="F30" i="2"/>
  <c r="B30" i="2"/>
  <c r="F14" i="2"/>
  <c r="B14" i="2"/>
  <c r="D75" i="2"/>
  <c r="F3" i="2"/>
  <c r="D50" i="2"/>
  <c r="D47" i="2"/>
  <c r="D94" i="2"/>
  <c r="D78" i="2"/>
  <c r="D62" i="2"/>
  <c r="D46" i="2"/>
  <c r="D30" i="2"/>
  <c r="D34" i="2"/>
  <c r="D95" i="2"/>
  <c r="D79" i="2"/>
  <c r="D63" i="2"/>
  <c r="D31" i="2"/>
  <c r="D11" i="2"/>
  <c r="F11" i="2"/>
  <c r="G11" i="2"/>
  <c r="H11" i="2"/>
  <c r="D93" i="2"/>
  <c r="D77" i="2"/>
  <c r="D61" i="2"/>
  <c r="D45" i="2"/>
  <c r="D29" i="2"/>
  <c r="D13" i="2"/>
  <c r="D66" i="2"/>
  <c r="F10" i="2"/>
  <c r="G10" i="2"/>
  <c r="H10" i="2"/>
  <c r="D12" i="2"/>
  <c r="D98" i="2"/>
  <c r="G9" i="2"/>
  <c r="F9" i="2"/>
  <c r="H9" i="2"/>
  <c r="F8" i="2"/>
  <c r="G8" i="2"/>
  <c r="H8" i="2"/>
  <c r="D90" i="2"/>
  <c r="D74" i="2"/>
  <c r="D58" i="2"/>
  <c r="D42" i="2"/>
  <c r="D26" i="2"/>
  <c r="H7" i="2"/>
  <c r="F7" i="2"/>
  <c r="G7" i="2"/>
  <c r="D89" i="2"/>
  <c r="D73" i="2"/>
  <c r="D57" i="2"/>
  <c r="D41" i="2"/>
  <c r="D25" i="2"/>
  <c r="D6" i="2"/>
  <c r="F6" i="2"/>
  <c r="G6" i="2"/>
  <c r="H6" i="2"/>
  <c r="D88" i="2"/>
  <c r="D72" i="2"/>
  <c r="D56" i="2"/>
  <c r="D40" i="2"/>
  <c r="D24" i="2"/>
  <c r="F100" i="2"/>
  <c r="D82" i="2"/>
  <c r="G2" i="2"/>
  <c r="D4" i="2"/>
  <c r="G4" i="2"/>
  <c r="D86" i="2"/>
  <c r="D70" i="2"/>
  <c r="D54" i="2"/>
  <c r="D38" i="2"/>
  <c r="D22" i="2"/>
  <c r="F99" i="2"/>
  <c r="D5" i="2"/>
  <c r="F5" i="2"/>
  <c r="H5" i="2"/>
  <c r="G5" i="2"/>
  <c r="D85" i="2"/>
  <c r="D69" i="2"/>
  <c r="D53" i="2"/>
  <c r="D37" i="2"/>
  <c r="D21" i="2"/>
  <c r="D84" i="2"/>
  <c r="D68" i="2"/>
  <c r="D52" i="2"/>
  <c r="D36" i="2"/>
  <c r="D20" i="2"/>
  <c r="F97" i="2"/>
  <c r="D83" i="2"/>
  <c r="D67" i="2"/>
  <c r="D51" i="2"/>
  <c r="D35" i="2"/>
  <c r="D19" i="2"/>
  <c r="D81" i="2"/>
  <c r="D65" i="2"/>
  <c r="D49" i="2"/>
  <c r="D33" i="2"/>
  <c r="D17" i="2"/>
  <c r="H4" i="2"/>
  <c r="D96" i="2"/>
  <c r="D80" i="2"/>
  <c r="D64" i="2"/>
  <c r="D48" i="2"/>
  <c r="D32" i="2"/>
  <c r="D16" i="2"/>
  <c r="H3" i="2"/>
  <c r="D10" i="2"/>
  <c r="F4" i="2"/>
  <c r="D9" i="2"/>
  <c r="D8" i="2"/>
  <c r="D7" i="2"/>
  <c r="N4" i="1"/>
  <c r="Q4" i="1"/>
  <c r="N5" i="1"/>
  <c r="Q5" i="1"/>
  <c r="N6" i="1"/>
  <c r="Q6" i="1"/>
  <c r="N7" i="1"/>
  <c r="Q7" i="1"/>
  <c r="N8" i="1"/>
  <c r="Q8" i="1"/>
  <c r="N9" i="1"/>
  <c r="Q9" i="1"/>
  <c r="N10" i="1"/>
  <c r="Q10" i="1"/>
  <c r="N11" i="1"/>
  <c r="Q11" i="1"/>
  <c r="M4" i="1"/>
  <c r="M5" i="1"/>
  <c r="M6" i="1"/>
  <c r="M7" i="1"/>
  <c r="M8" i="1"/>
  <c r="M9" i="1"/>
  <c r="M10" i="1"/>
  <c r="M11" i="1"/>
  <c r="M3" i="1"/>
  <c r="P3" i="1"/>
  <c r="P2" i="1"/>
  <c r="O3" i="1"/>
  <c r="O2" i="1"/>
  <c r="N3" i="1"/>
  <c r="N2" i="1"/>
  <c r="Q3" i="1"/>
  <c r="Q2" i="1"/>
  <c r="H2" i="2" l="1"/>
  <c r="O7" i="1"/>
  <c r="P7" i="1"/>
  <c r="O8" i="1"/>
  <c r="P8" i="1"/>
  <c r="P9" i="1"/>
  <c r="O9" i="1"/>
  <c r="P10" i="1"/>
  <c r="O10" i="1"/>
  <c r="O11" i="1"/>
  <c r="P11" i="1"/>
  <c r="O5" i="1"/>
  <c r="P5" i="1"/>
  <c r="P6" i="1"/>
  <c r="O6" i="1"/>
  <c r="O4" i="1"/>
  <c r="P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<sst xmlns="http://schemas.openxmlformats.org/spreadsheetml/2006/main" count="56" uniqueCount="44">
  <si>
    <t>Cuenca</t>
  </si>
  <si>
    <t>Area (km2)</t>
  </si>
  <si>
    <t>Curva Numero</t>
  </si>
  <si>
    <t>Elevacion Minima (msnm)</t>
  </si>
  <si>
    <t>Elevacion Maxima (msnm)</t>
  </si>
  <si>
    <t>Rango Elevacion (m)</t>
  </si>
  <si>
    <t>Elevacion Media (msnm)</t>
  </si>
  <si>
    <t>Pendiente Media Cauce Principal (m/m)</t>
  </si>
  <si>
    <t>Largo Cauce Principal (km)</t>
  </si>
  <si>
    <t>Largo Cauce - Centro de Gravedad (km)</t>
  </si>
  <si>
    <t>Velocidad Media Cauce Principal (m/s)</t>
  </si>
  <si>
    <t>California Culverts Practice (hr)</t>
  </si>
  <si>
    <t>Giandotti (hr)</t>
  </si>
  <si>
    <t>SCS (hr)</t>
  </si>
  <si>
    <t>Normas Españolas (hr)</t>
  </si>
  <si>
    <t>Velocidad Media (hr)</t>
  </si>
  <si>
    <t>Tiempo de Concentración Adoptado (hr)</t>
  </si>
  <si>
    <t>C_01_CL</t>
  </si>
  <si>
    <t>C_02_CL</t>
  </si>
  <si>
    <t>ΔD propuesto (hr)</t>
  </si>
  <si>
    <t>ΔD adoptado (hr)</t>
  </si>
  <si>
    <t>Tiempo al Peak (hr)</t>
  </si>
  <si>
    <t>Tiempo Base (hr)</t>
  </si>
  <si>
    <t>Caudal Peak (m3/s/mm)</t>
  </si>
  <si>
    <t>Horas</t>
  </si>
  <si>
    <t>T</t>
  </si>
  <si>
    <t>Time ratios (t/Tp)</t>
  </si>
  <si>
    <t>Discharge ratios (q/qp)</t>
  </si>
  <si>
    <t>Mass curve ratios (Qa/Q)</t>
  </si>
  <si>
    <t>Tormenta N°1</t>
  </si>
  <si>
    <t>tiempo (%)</t>
  </si>
  <si>
    <t>Pp (%)</t>
  </si>
  <si>
    <t>Varas Grupo I - 10%</t>
  </si>
  <si>
    <t>Tormenta N°2</t>
  </si>
  <si>
    <t>Varas Grupo II - 10%</t>
  </si>
  <si>
    <t>Tormenta N°3</t>
  </si>
  <si>
    <t>Varas Grupo III - 10%</t>
  </si>
  <si>
    <t>Tormenta N°4</t>
  </si>
  <si>
    <t>SCS - Tipo I</t>
  </si>
  <si>
    <t>Tormenta N°5</t>
  </si>
  <si>
    <t>SCS - Tipo IA</t>
  </si>
  <si>
    <t>CN</t>
  </si>
  <si>
    <t>Tormenta N°6</t>
  </si>
  <si>
    <t>HU-Varas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</si>
</sst>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2" borderId="0" xfId="0" applyNumberFormat="1" applyFill="1"/>
    <xf numFmtId="0" fontId="0" fillId="2" borderId="0" xfId="0" applyFill="1" applyAlignment="1">
      <alignment horizont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1" applyFont="1" applyAlignment="1">
      <alignment horizontal="center"/>
    </xf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287655</xdr:colOff>
      <xdr:row>0</xdr:row>
      <xdr:rowOff>380999</xdr:rowOff>
    </xdr:from>
    <xdr:to>
      <xdr:col>23</xdr:col>
      <xdr:colOff>59055</xdr:colOff>
      <xdr:row>2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D9E88-788D-A7BB-6F0B-988B10978A38}"/>
            </a:ext>
          </a:extLst>
        </xdr:cNvPr>
        <xdr:cNvSpPr txBox="1"/>
      </xdr:nvSpPr>
      <xdr:spPr>
        <a:xfrm>
          <a:off x="15916275" y="380999"/>
          <a:ext cx="2819400" cy="647701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El tiempo de concentración</a:t>
          </a:r>
          <a:r>
            <a:rPr lang="en-US" sz="1100" b="1" baseline="0">
              <a:solidFill>
                <a:srgbClr val="FF0000"/>
              </a:solidFill>
            </a:rPr>
            <a:t> adoptado debe ser como mínimo de 10 minutos (0.167 hr aprox).</a:t>
          </a:r>
          <a:br>
            <a:rPr lang="en-US" sz="1100" b="1" baseline="0">
              <a:solidFill>
                <a:srgbClr val="FF0000"/>
              </a:solidFill>
            </a:rPr>
          </a:br>
          <a:endParaRPr lang="en-US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9525</xdr:colOff>
      <xdr:row>4</xdr:row>
      <xdr:rowOff>26670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B0B733-C4CE-472E-8143-82D4BFF38A7B}"/>
            </a:ext>
          </a:extLst>
        </xdr:cNvPr>
        <xdr:cNvSpPr txBox="1"/>
      </xdr:nvSpPr>
      <xdr:spPr>
        <a:xfrm>
          <a:off x="6819900" y="704850"/>
          <a:ext cx="4352925" cy="569595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En esta pestaña se debe rellenar el valor de ∆D adoptado en horas. Se recomienda que el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valor en minutos sea divisor de 60.</a:t>
          </a:r>
          <a:b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80010</xdr:colOff>
      <xdr:row>13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F2CA157-3F7A-43EF-8EDF-97ABE37DB274}"/>
            </a:ext>
          </a:extLst>
        </xdr:cNvPr>
        <xdr:cNvSpPr txBox="1"/>
      </xdr:nvSpPr>
      <xdr:spPr>
        <a:xfrm>
          <a:off x="2438400" y="182880"/>
          <a:ext cx="4347210" cy="2270760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En esta pestaña se deben agregar las precipitaciones máximas para los períodos de retorno que se quieren analizar.</a:t>
          </a: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El codigo va a iterar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sobre</a:t>
          </a: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 todas las precipitaciones máximas que se ingresen.</a:t>
          </a:r>
          <a:b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CL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Importante:</a:t>
          </a:r>
          <a:b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 se pueden agregar periodos de retorno duplicados.</a:t>
          </a:r>
          <a:b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 se pueden agregar cadenas de texto en el periodo de retorno del tipo "2-CC".</a:t>
          </a:r>
          <a:b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Los valores de Pp Max deben ser numéricos.</a:t>
          </a: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</xdr:rowOff>
    </xdr:from>
    <xdr:to>
      <xdr:col>9</xdr:col>
      <xdr:colOff>360045</xdr:colOff>
      <xdr:row>12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96E3F5-42EB-4365-86AF-9755E5ED77EE}"/>
            </a:ext>
          </a:extLst>
        </xdr:cNvPr>
        <xdr:cNvSpPr txBox="1"/>
      </xdr:nvSpPr>
      <xdr:spPr>
        <a:xfrm>
          <a:off x="2438400" y="182881"/>
          <a:ext cx="3408045" cy="2034539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Agregar solamente los CD correspondientes a las duraciones de tormenta que se van a analizar.</a:t>
          </a: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El codigo va a iterar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sobre</a:t>
          </a: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 todos los CD que se ingresen. Calculará todas las distribuciones de tormenta acorde a las duraciones que se quiera evaluar.</a:t>
          </a: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Importante:</a:t>
          </a:r>
          <a:b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 se pueden agregar duraciones duplicadas.</a:t>
          </a:r>
          <a:b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 se pueden agregar cadenas de texto como duración.</a:t>
          </a:r>
          <a:b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Los valores de CD deben ser numéricos.</a:t>
          </a: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601980</xdr:colOff>
      <xdr:row>1</xdr:row>
      <xdr:rowOff>53340</xdr:rowOff>
    </xdr:from>
    <xdr:to>
      <xdr:col>26</xdr:col>
      <xdr:colOff>352425</xdr:colOff>
      <xdr:row>23</xdr:row>
      <xdr:rowOff>150496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08CBEC-EAE8-483C-80E0-E631A1606A52}"/>
            </a:ext>
          </a:extLst>
        </xdr:cNvPr>
        <xdr:cNvSpPr txBox="1"/>
      </xdr:nvSpPr>
      <xdr:spPr>
        <a:xfrm>
          <a:off x="16756380" y="236220"/>
          <a:ext cx="3408045" cy="4120516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En esta pestaña se deben ingresar las distribuciones de tormenta que se analizarán,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el código va a iterar sobre todas las distribuciones ingresadas.</a:t>
          </a:r>
          <a:b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</a:br>
          <a:b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Cada distribución de tormenta debe contener:</a:t>
          </a:r>
          <a:b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- Título en la fila 1, en la celda a continuación de "Tormenta N°X".</a:t>
          </a:r>
          <a:b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- Primera columna con el tiempo en porcentaje, con valores de 0 a 100% (se debe incluir el simbolo "%"). Estos datos se rellenan a partir de la fila 3.</a:t>
          </a:r>
        </a:p>
        <a:p>
          <a:pPr marL="0" indent="0"/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- Segunda columna con el porcentaje acumulado (no parcial) de precipitación caída, con valores de 0 a 100% (se debe incluir el símbolo "%"). Estos datos se rellenan a partir de la fila 3.</a:t>
          </a:r>
        </a:p>
        <a:p>
          <a:pPr marL="0" indent="0"/>
          <a:endParaRPr lang="es-CL" sz="1100" b="1" baseline="0">
            <a:solidFill>
              <a:srgbClr val="FF0000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La primera distribución ingresada debe estar en las columnas A y B. La segunda fila esta reservada para indicar los nombres de las columnas (tiempo (%) y Pp (%), respectivamente). Cada distribución ingresada debe estar separada con una columna en blanco, por lo que la siguiente debe estar ingresada en las columnas </a:t>
          </a: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80"/>
  <sheetViews>
    <sheetView tabSelected="1" workbookViewId="0">
      <selection activeCell="E12" sqref="E12"/>
    </sheetView>
  </sheetViews>
  <sheetFormatPr defaultRowHeight="14.4" x14ac:dyDescent="0.3"/>
  <cols>
    <col min="1" max="1" width="14.6640625" customWidth="1"/>
    <col min="2" max="11" width="12.6640625" customWidth="1"/>
    <col min="13" max="17" width="12.6640625" customWidth="1"/>
    <col min="18" max="18" width="14.33203125" customWidth="1"/>
  </cols>
  <sheetData>
    <row r="1" spans="1:18" ht="55.2" customHeight="1" x14ac:dyDescent="0.3">
      <c r="A1" s="7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t="s">
        <v>17</v>
      </c>
      <c r="B2" s="4">
        <v>117.271</v>
      </c>
      <c r="C2">
        <v>75</v>
      </c>
      <c r="D2" s="5">
        <v>1715</v>
      </c>
      <c r="E2" s="5">
        <v>3626.5</v>
      </c>
      <c r="F2" s="5">
        <f>E2-D2</f>
        <v>1911.5</v>
      </c>
      <c r="G2" s="5">
        <v>2962.0915254327729</v>
      </c>
      <c r="H2" s="3">
        <f>F2/(I2*1000)</f>
        <v>5.214698821475338E-2</v>
      </c>
      <c r="I2" s="3">
        <v>36.655999999999999</v>
      </c>
      <c r="J2" s="3">
        <v>14.802</v>
      </c>
      <c r="K2" s="5">
        <v>1</v>
      </c>
      <c r="M2" s="6">
        <f>IF(OR(I2="",F2=""),"",IF(OR(I2&lt;=0,F2&lt;=0),"",0.95*((I2^3)/F2)^0.385))</f>
        <v>3.3188074541768171</v>
      </c>
      <c r="N2" s="6">
        <f>IF(OR(B2="",I2="",G2="",D2=""),"",IF(OR(B2&lt;=0,I2&lt;=0,G2&lt;=D2),"",(4*SQRT(B2)+1.5*I2)/(0.8*SQRT(G2-D2))))</f>
        <v>3.4795047525588481</v>
      </c>
      <c r="O2" s="6">
        <f>IF(OR(I2="",C2="",H2=""),"",IF(OR(I2&lt;=0,H2&lt;=0,C2&lt;=0,C2&gt;100),"",((100*((I2*1000/0.3048)^0.8)*(((1000/C2)-9)^0.7))/(1900*SQRT(H2*100)))/60))</f>
        <v>12.426822327700261</v>
      </c>
      <c r="P2" s="6">
        <f>IF(OR(I2="",H2=""),"",IF(OR(I2&lt;=0,H2&lt;=0),"",(18*(I2^0.76)/(H2^0.19))/60))</f>
        <v>8.120783933193696</v>
      </c>
      <c r="Q2" s="6">
        <f>IF(OR(I2="",K2=""),"",IF(OR(I2&lt;=0,K2&lt;=0),"",I2/(3.6*K2)))</f>
        <v>10.182222222222222</v>
      </c>
      <c r="R2" s="10">
        <f>AVERAGE(M2,P2)</f>
        <v>5.7197956936852563</v>
      </c>
    </row>
    <row r="3" spans="1:18" x14ac:dyDescent="0.3">
      <c r="A3" t="s">
        <v>18</v>
      </c>
      <c r="B3" s="4">
        <v>447.74</v>
      </c>
      <c r="C3">
        <v>75</v>
      </c>
      <c r="D3" s="5">
        <v>1813</v>
      </c>
      <c r="E3" s="5">
        <v>3219</v>
      </c>
      <c r="F3" s="5">
        <f>E3-D3</f>
        <v>1406</v>
      </c>
      <c r="G3" s="5">
        <v>2803.62</v>
      </c>
      <c r="H3" s="3">
        <f>F3/(I3*1000)</f>
        <v>2.8880124887026539E-2</v>
      </c>
      <c r="I3" s="3">
        <v>48.683999999999997</v>
      </c>
      <c r="J3" s="3">
        <v>18.431000000000001</v>
      </c>
      <c r="K3" s="5">
        <v>1</v>
      </c>
      <c r="M3" s="6">
        <f t="shared" ref="M3:M11" si="0">IF(OR(I3="",F3=""),"",IF(OR(I3&lt;=0,F3&lt;=0),"",0.95*((I3^3)/F3)^0.385))</f>
        <v>5.1841836722908408</v>
      </c>
      <c r="N3" s="6">
        <f>IF(OR(B3="",I3="",G3="",D3=""),"",IF(OR(B3&lt;=0,I3&lt;=0,G3&lt;=D3),"",(4*SQRT(B3)+1.5*I3)/(0.8*SQRT(G3-D3))))</f>
        <v>6.2617115658450908</v>
      </c>
      <c r="O3" s="6">
        <f>IF(OR(I3="",C3="",H3=""),"",IF(OR(I3&lt;=0,H3&lt;=0,C3&lt;=0,C3&gt;100),"",((100*((I3*1000/0.3048)^0.8)*(((1000/C3)-9)^0.7))/(1900*SQRT(H3*100)))/60))</f>
        <v>20.954056778821283</v>
      </c>
      <c r="P3" s="6">
        <f>IF(OR(I3="",H3=""),"",IF(OR(I3&lt;=0,H3&lt;=0),"",(18*(I3^0.76)/(H3^0.19))/60))</f>
        <v>11.272519230099329</v>
      </c>
      <c r="Q3" s="6">
        <f>IF(OR(I3="",K3=""),"",IF(OR(I3&lt;=0,K3&lt;=0),"",I3/(3.6*K3)))</f>
        <v>13.523333333333332</v>
      </c>
      <c r="R3" s="10">
        <f>AVERAGE(M3,P3)</f>
        <v>8.2283514511950848</v>
      </c>
    </row>
    <row r="4" spans="1:18" x14ac:dyDescent="0.3">
      <c r="B4" s="4"/>
      <c r="D4" s="5"/>
      <c r="E4" s="5"/>
      <c r="F4" s="5"/>
      <c r="G4" s="5"/>
      <c r="H4" s="3"/>
      <c r="I4" s="3"/>
      <c r="M4" s="6" t="str">
        <f t="shared" si="0"/>
        <v/>
      </c>
      <c r="N4" s="6" t="str">
        <f t="shared" ref="N4:N11" si="1">IF(OR(B4="",I4="",G4="",D4=""),"",IF(OR(B4&lt;=0,I4&lt;=0,G4&lt;=D4),"",(4*SQRT(B4)+1.5*I4)/(0.8*SQRT(G4-D4))))</f>
        <v/>
      </c>
      <c r="O4" s="6" t="str">
        <f t="shared" ref="O4:O11" si="2">IF(OR(I4="",C4="",H4=""),"",IF(OR(I4&lt;=0,H4&lt;=0,C4&lt;=0,C4&gt;100),"",((100*((I4*1000/0.3048)^0.8)*(((1000/C4)-9)^0.7))/(1900*SQRT(H4*100)))/60))</f>
        <v/>
      </c>
      <c r="P4" s="6" t="str">
        <f t="shared" ref="P4:P11" si="3">IF(OR(I4="",H4=""),"",IF(OR(I4&lt;=0,H4&lt;=0),"",(18*(I4^0.76)/(H4^0.19))/60))</f>
        <v/>
      </c>
      <c r="Q4" s="6" t="str">
        <f t="shared" ref="Q4:Q11" si="4">IF(OR(I4="",K4=""),"",IF(OR(I4&lt;=0,K4&lt;=0),"",I4/(3.6*K4)))</f>
        <v/>
      </c>
      <c r="R4" s="3"/>
    </row>
    <row r="5" spans="1:18" x14ac:dyDescent="0.3">
      <c r="B5" s="4"/>
      <c r="D5" s="5"/>
      <c r="E5" s="5"/>
      <c r="F5" s="5"/>
      <c r="G5" s="5"/>
      <c r="H5" s="3"/>
      <c r="I5" s="3"/>
      <c r="M5" s="6" t="str">
        <f t="shared" si="0"/>
        <v/>
      </c>
      <c r="N5" s="6" t="str">
        <f t="shared" si="1"/>
        <v/>
      </c>
      <c r="O5" s="6" t="str">
        <f t="shared" si="2"/>
        <v/>
      </c>
      <c r="P5" s="6" t="str">
        <f t="shared" si="3"/>
        <v/>
      </c>
      <c r="Q5" s="6" t="str">
        <f t="shared" si="4"/>
        <v/>
      </c>
      <c r="R5" s="3"/>
    </row>
    <row r="6" spans="1:18" x14ac:dyDescent="0.3">
      <c r="B6" s="4"/>
      <c r="D6" s="5"/>
      <c r="E6" s="5"/>
      <c r="F6" s="5"/>
      <c r="G6" s="5"/>
      <c r="H6" s="3"/>
      <c r="I6" s="3"/>
      <c r="M6" s="6" t="str">
        <f t="shared" si="0"/>
        <v/>
      </c>
      <c r="N6" s="6" t="str">
        <f t="shared" si="1"/>
        <v/>
      </c>
      <c r="O6" s="6" t="str">
        <f t="shared" si="2"/>
        <v/>
      </c>
      <c r="P6" s="6" t="str">
        <f t="shared" si="3"/>
        <v/>
      </c>
      <c r="Q6" s="6" t="str">
        <f t="shared" si="4"/>
        <v/>
      </c>
      <c r="R6" s="3"/>
    </row>
    <row r="7" spans="1:18" x14ac:dyDescent="0.3">
      <c r="B7" s="4"/>
      <c r="D7" s="5"/>
      <c r="E7" s="5"/>
      <c r="F7" s="5"/>
      <c r="G7" s="5"/>
      <c r="H7" s="3"/>
      <c r="I7" s="3"/>
      <c r="M7" s="6" t="str">
        <f t="shared" si="0"/>
        <v/>
      </c>
      <c r="N7" s="6" t="str">
        <f t="shared" si="1"/>
        <v/>
      </c>
      <c r="O7" s="6" t="str">
        <f t="shared" si="2"/>
        <v/>
      </c>
      <c r="P7" s="6" t="str">
        <f t="shared" si="3"/>
        <v/>
      </c>
      <c r="Q7" s="6" t="str">
        <f t="shared" si="4"/>
        <v/>
      </c>
      <c r="R7" s="3"/>
    </row>
    <row r="8" spans="1:18" x14ac:dyDescent="0.3">
      <c r="B8" s="4"/>
      <c r="D8" s="5"/>
      <c r="E8" s="5"/>
      <c r="F8" s="5"/>
      <c r="G8" s="5"/>
      <c r="H8" s="3"/>
      <c r="I8" s="3"/>
      <c r="M8" s="6" t="str">
        <f t="shared" si="0"/>
        <v/>
      </c>
      <c r="N8" s="6" t="str">
        <f t="shared" si="1"/>
        <v/>
      </c>
      <c r="O8" s="6" t="str">
        <f t="shared" si="2"/>
        <v/>
      </c>
      <c r="P8" s="6" t="str">
        <f t="shared" si="3"/>
        <v/>
      </c>
      <c r="Q8" s="6" t="str">
        <f t="shared" si="4"/>
        <v/>
      </c>
      <c r="R8" s="3"/>
    </row>
    <row r="9" spans="1:18" x14ac:dyDescent="0.3">
      <c r="B9" s="4"/>
      <c r="D9" s="5"/>
      <c r="E9" s="5"/>
      <c r="F9" s="5"/>
      <c r="G9" s="5"/>
      <c r="H9" s="3"/>
      <c r="I9" s="3"/>
      <c r="M9" s="6" t="str">
        <f t="shared" si="0"/>
        <v/>
      </c>
      <c r="N9" s="6" t="str">
        <f t="shared" si="1"/>
        <v/>
      </c>
      <c r="O9" s="6" t="str">
        <f t="shared" si="2"/>
        <v/>
      </c>
      <c r="P9" s="6" t="str">
        <f t="shared" si="3"/>
        <v/>
      </c>
      <c r="Q9" s="6" t="str">
        <f t="shared" si="4"/>
        <v/>
      </c>
      <c r="R9" s="3"/>
    </row>
    <row r="10" spans="1:18" x14ac:dyDescent="0.3">
      <c r="B10" s="4"/>
      <c r="D10" s="5"/>
      <c r="E10" s="5"/>
      <c r="F10" s="5"/>
      <c r="G10" s="5"/>
      <c r="H10" s="3"/>
      <c r="I10" s="3"/>
      <c r="M10" s="6" t="str">
        <f t="shared" si="0"/>
        <v/>
      </c>
      <c r="N10" s="6" t="str">
        <f t="shared" si="1"/>
        <v/>
      </c>
      <c r="O10" s="6" t="str">
        <f t="shared" si="2"/>
        <v/>
      </c>
      <c r="P10" s="6" t="str">
        <f t="shared" si="3"/>
        <v/>
      </c>
      <c r="Q10" s="6" t="str">
        <f t="shared" si="4"/>
        <v/>
      </c>
      <c r="R10" s="3"/>
    </row>
    <row r="11" spans="1:18" x14ac:dyDescent="0.3">
      <c r="B11" s="4"/>
      <c r="D11" s="5"/>
      <c r="E11" s="5"/>
      <c r="F11" s="5"/>
      <c r="G11" s="5"/>
      <c r="H11" s="3"/>
      <c r="I11" s="3"/>
      <c r="M11" s="6" t="str">
        <f t="shared" si="0"/>
        <v/>
      </c>
      <c r="N11" s="6" t="str">
        <f t="shared" si="1"/>
        <v/>
      </c>
      <c r="O11" s="6" t="str">
        <f t="shared" si="2"/>
        <v/>
      </c>
      <c r="P11" s="6" t="str">
        <f t="shared" si="3"/>
        <v/>
      </c>
      <c r="Q11" s="6" t="str">
        <f t="shared" si="4"/>
        <v/>
      </c>
    </row>
    <row r="12" spans="1:18" x14ac:dyDescent="0.3">
      <c r="B12" s="4"/>
      <c r="D12" s="5"/>
      <c r="E12" s="5"/>
      <c r="F12" s="5"/>
      <c r="G12" s="5"/>
      <c r="H12" s="3"/>
      <c r="I12" s="3"/>
      <c r="M12" s="6" t="str">
        <f t="shared" ref="M12:M75" si="5">IF(OR(I12="",F12=""),"",IF(OR(I12&lt;=0,F12&lt;=0),"",0.95*((I12^3)/F12)^0.385))</f>
        <v/>
      </c>
      <c r="N12" s="6" t="str">
        <f t="shared" ref="N12:N75" si="6">IF(OR(B12="",I12="",G12="",D12=""),"",IF(OR(B12&lt;=0,I12&lt;=0,G12&lt;=D12),"",(4*SQRT(B12)+1.5*I12)/(0.8*SQRT(G12-D12))))</f>
        <v/>
      </c>
      <c r="O12" s="6" t="str">
        <f t="shared" ref="O12:O75" si="7">IF(OR(I12="",C12="",H12=""),"",IF(OR(I12&lt;=0,H12&lt;=0,C12&lt;=0,C12&gt;100),"",((100*((I12*1000/0.3048)^0.8)*(((1000/C12)-9)^0.7))/(1900*SQRT(H12*100)))/60))</f>
        <v/>
      </c>
      <c r="P12" s="6" t="str">
        <f t="shared" ref="P12:P75" si="8">IF(OR(I12="",H12=""),"",IF(OR(I12&lt;=0,H12&lt;=0),"",(18*(I12^0.76)/(H12^0.19))/60))</f>
        <v/>
      </c>
      <c r="Q12" s="6" t="str">
        <f t="shared" ref="Q12:Q75" si="9">IF(OR(I12="",K12=""),"",IF(OR(I12&lt;=0,K12&lt;=0),"",I12/(3.6*K12)))</f>
        <v/>
      </c>
    </row>
    <row r="13" spans="1:18" x14ac:dyDescent="0.3">
      <c r="B13" s="4"/>
      <c r="D13" s="5"/>
      <c r="E13" s="5"/>
      <c r="F13" s="5"/>
      <c r="G13" s="5"/>
      <c r="H13" s="3"/>
      <c r="I13" s="3"/>
      <c r="M13" s="6" t="str">
        <f t="shared" si="5"/>
        <v/>
      </c>
      <c r="N13" s="6" t="str">
        <f t="shared" si="6"/>
        <v/>
      </c>
      <c r="O13" s="6" t="str">
        <f t="shared" si="7"/>
        <v/>
      </c>
      <c r="P13" s="6" t="str">
        <f t="shared" si="8"/>
        <v/>
      </c>
      <c r="Q13" s="6" t="str">
        <f t="shared" si="9"/>
        <v/>
      </c>
    </row>
    <row r="14" spans="1:18" x14ac:dyDescent="0.3">
      <c r="B14" s="4"/>
      <c r="D14" s="5"/>
      <c r="E14" s="5"/>
      <c r="F14" s="5"/>
      <c r="G14" s="5"/>
      <c r="H14" s="3"/>
      <c r="I14" s="3"/>
      <c r="M14" s="6" t="str">
        <f t="shared" si="5"/>
        <v/>
      </c>
      <c r="N14" s="6" t="str">
        <f t="shared" si="6"/>
        <v/>
      </c>
      <c r="O14" s="6" t="str">
        <f t="shared" si="7"/>
        <v/>
      </c>
      <c r="P14" s="6" t="str">
        <f t="shared" si="8"/>
        <v/>
      </c>
      <c r="Q14" s="6" t="str">
        <f t="shared" si="9"/>
        <v/>
      </c>
    </row>
    <row r="15" spans="1:18" x14ac:dyDescent="0.3">
      <c r="M15" s="6" t="str">
        <f t="shared" si="5"/>
        <v/>
      </c>
      <c r="N15" s="6" t="str">
        <f t="shared" si="6"/>
        <v/>
      </c>
      <c r="O15" s="6" t="str">
        <f t="shared" si="7"/>
        <v/>
      </c>
      <c r="P15" s="6" t="str">
        <f t="shared" si="8"/>
        <v/>
      </c>
      <c r="Q15" s="6" t="str">
        <f t="shared" si="9"/>
        <v/>
      </c>
    </row>
    <row r="16" spans="1:18" x14ac:dyDescent="0.3">
      <c r="M16" s="6" t="str">
        <f t="shared" si="5"/>
        <v/>
      </c>
      <c r="N16" s="6" t="str">
        <f t="shared" si="6"/>
        <v/>
      </c>
      <c r="O16" s="6" t="str">
        <f t="shared" si="7"/>
        <v/>
      </c>
      <c r="P16" s="6" t="str">
        <f t="shared" si="8"/>
        <v/>
      </c>
      <c r="Q16" s="6" t="str">
        <f t="shared" si="9"/>
        <v/>
      </c>
    </row>
    <row r="17" spans="8:17" x14ac:dyDescent="0.3">
      <c r="M17" s="6" t="str">
        <f t="shared" si="5"/>
        <v/>
      </c>
      <c r="N17" s="6" t="str">
        <f t="shared" si="6"/>
        <v/>
      </c>
      <c r="O17" s="6" t="str">
        <f t="shared" si="7"/>
        <v/>
      </c>
      <c r="P17" s="6" t="str">
        <f t="shared" si="8"/>
        <v/>
      </c>
      <c r="Q17" s="6" t="str">
        <f t="shared" si="9"/>
        <v/>
      </c>
    </row>
    <row r="18" spans="8:17" x14ac:dyDescent="0.3">
      <c r="M18" s="6" t="str">
        <f t="shared" si="5"/>
        <v/>
      </c>
      <c r="N18" s="6" t="str">
        <f t="shared" si="6"/>
        <v/>
      </c>
      <c r="O18" s="6" t="str">
        <f t="shared" si="7"/>
        <v/>
      </c>
      <c r="P18" s="6" t="str">
        <f t="shared" si="8"/>
        <v/>
      </c>
      <c r="Q18" s="6" t="str">
        <f t="shared" si="9"/>
        <v/>
      </c>
    </row>
    <row r="19" spans="8:17" x14ac:dyDescent="0.3">
      <c r="H19" s="3"/>
      <c r="M19" s="6" t="str">
        <f t="shared" si="5"/>
        <v/>
      </c>
      <c r="N19" s="6" t="str">
        <f t="shared" si="6"/>
        <v/>
      </c>
      <c r="O19" s="6" t="str">
        <f t="shared" si="7"/>
        <v/>
      </c>
      <c r="P19" s="6" t="str">
        <f t="shared" si="8"/>
        <v/>
      </c>
      <c r="Q19" s="6" t="str">
        <f t="shared" si="9"/>
        <v/>
      </c>
    </row>
    <row r="20" spans="8:17" x14ac:dyDescent="0.3">
      <c r="H20" s="3"/>
      <c r="M20" s="6" t="str">
        <f t="shared" si="5"/>
        <v/>
      </c>
      <c r="N20" s="6" t="str">
        <f t="shared" si="6"/>
        <v/>
      </c>
      <c r="O20" s="6" t="str">
        <f t="shared" si="7"/>
        <v/>
      </c>
      <c r="P20" s="6" t="str">
        <f t="shared" si="8"/>
        <v/>
      </c>
      <c r="Q20" s="6" t="str">
        <f t="shared" si="9"/>
        <v/>
      </c>
    </row>
    <row r="21" spans="8:17" x14ac:dyDescent="0.3">
      <c r="M21" s="6" t="str">
        <f t="shared" si="5"/>
        <v/>
      </c>
      <c r="N21" s="6" t="str">
        <f t="shared" si="6"/>
        <v/>
      </c>
      <c r="O21" s="6" t="str">
        <f t="shared" si="7"/>
        <v/>
      </c>
      <c r="P21" s="6" t="str">
        <f t="shared" si="8"/>
        <v/>
      </c>
      <c r="Q21" s="6" t="str">
        <f t="shared" si="9"/>
        <v/>
      </c>
    </row>
    <row r="22" spans="8:17" x14ac:dyDescent="0.3">
      <c r="M22" s="6" t="str">
        <f t="shared" si="5"/>
        <v/>
      </c>
      <c r="N22" s="6" t="str">
        <f t="shared" si="6"/>
        <v/>
      </c>
      <c r="O22" s="6" t="str">
        <f t="shared" si="7"/>
        <v/>
      </c>
      <c r="P22" s="6" t="str">
        <f t="shared" si="8"/>
        <v/>
      </c>
      <c r="Q22" s="6" t="str">
        <f t="shared" si="9"/>
        <v/>
      </c>
    </row>
    <row r="23" spans="8:17" x14ac:dyDescent="0.3">
      <c r="M23" s="6" t="str">
        <f t="shared" si="5"/>
        <v/>
      </c>
      <c r="N23" s="6" t="str">
        <f t="shared" si="6"/>
        <v/>
      </c>
      <c r="O23" s="6" t="str">
        <f t="shared" si="7"/>
        <v/>
      </c>
      <c r="P23" s="6" t="str">
        <f t="shared" si="8"/>
        <v/>
      </c>
      <c r="Q23" s="6" t="str">
        <f t="shared" si="9"/>
        <v/>
      </c>
    </row>
    <row r="24" spans="8:17" x14ac:dyDescent="0.3">
      <c r="M24" s="6" t="str">
        <f t="shared" si="5"/>
        <v/>
      </c>
      <c r="N24" s="6" t="str">
        <f t="shared" si="6"/>
        <v/>
      </c>
      <c r="O24" s="6" t="str">
        <f t="shared" si="7"/>
        <v/>
      </c>
      <c r="P24" s="6" t="str">
        <f t="shared" si="8"/>
        <v/>
      </c>
      <c r="Q24" s="6" t="str">
        <f t="shared" si="9"/>
        <v/>
      </c>
    </row>
    <row r="25" spans="8:17" x14ac:dyDescent="0.3">
      <c r="M25" s="6" t="str">
        <f t="shared" si="5"/>
        <v/>
      </c>
      <c r="N25" s="6" t="str">
        <f t="shared" si="6"/>
        <v/>
      </c>
      <c r="O25" s="6" t="str">
        <f t="shared" si="7"/>
        <v/>
      </c>
      <c r="P25" s="6" t="str">
        <f t="shared" si="8"/>
        <v/>
      </c>
      <c r="Q25" s="6" t="str">
        <f t="shared" si="9"/>
        <v/>
      </c>
    </row>
    <row r="26" spans="8:17" x14ac:dyDescent="0.3">
      <c r="M26" s="6" t="str">
        <f t="shared" si="5"/>
        <v/>
      </c>
      <c r="N26" s="6" t="str">
        <f t="shared" si="6"/>
        <v/>
      </c>
      <c r="O26" s="6" t="str">
        <f t="shared" si="7"/>
        <v/>
      </c>
      <c r="P26" s="6" t="str">
        <f t="shared" si="8"/>
        <v/>
      </c>
      <c r="Q26" s="6" t="str">
        <f t="shared" si="9"/>
        <v/>
      </c>
    </row>
    <row r="27" spans="8:17" x14ac:dyDescent="0.3">
      <c r="M27" s="6" t="str">
        <f t="shared" si="5"/>
        <v/>
      </c>
      <c r="N27" s="6" t="str">
        <f t="shared" si="6"/>
        <v/>
      </c>
      <c r="O27" s="6" t="str">
        <f t="shared" si="7"/>
        <v/>
      </c>
      <c r="P27" s="6" t="str">
        <f t="shared" si="8"/>
        <v/>
      </c>
      <c r="Q27" s="6" t="str">
        <f t="shared" si="9"/>
        <v/>
      </c>
    </row>
    <row r="28" spans="8:17" x14ac:dyDescent="0.3">
      <c r="M28" s="6" t="str">
        <f t="shared" si="5"/>
        <v/>
      </c>
      <c r="N28" s="6" t="str">
        <f t="shared" si="6"/>
        <v/>
      </c>
      <c r="O28" s="6" t="str">
        <f t="shared" si="7"/>
        <v/>
      </c>
      <c r="P28" s="6" t="str">
        <f t="shared" si="8"/>
        <v/>
      </c>
      <c r="Q28" s="6" t="str">
        <f t="shared" si="9"/>
        <v/>
      </c>
    </row>
    <row r="29" spans="8:17" x14ac:dyDescent="0.3">
      <c r="M29" s="6" t="str">
        <f t="shared" si="5"/>
        <v/>
      </c>
      <c r="N29" s="6" t="str">
        <f t="shared" si="6"/>
        <v/>
      </c>
      <c r="O29" s="6" t="str">
        <f t="shared" si="7"/>
        <v/>
      </c>
      <c r="P29" s="6" t="str">
        <f t="shared" si="8"/>
        <v/>
      </c>
      <c r="Q29" s="6" t="str">
        <f t="shared" si="9"/>
        <v/>
      </c>
    </row>
    <row r="30" spans="8:17" x14ac:dyDescent="0.3">
      <c r="M30" s="6" t="str">
        <f t="shared" si="5"/>
        <v/>
      </c>
      <c r="N30" s="6" t="str">
        <f t="shared" si="6"/>
        <v/>
      </c>
      <c r="O30" s="6" t="str">
        <f t="shared" si="7"/>
        <v/>
      </c>
      <c r="P30" s="6" t="str">
        <f t="shared" si="8"/>
        <v/>
      </c>
      <c r="Q30" s="6" t="str">
        <f t="shared" si="9"/>
        <v/>
      </c>
    </row>
    <row r="31" spans="8:17" x14ac:dyDescent="0.3">
      <c r="M31" s="6" t="str">
        <f t="shared" si="5"/>
        <v/>
      </c>
      <c r="N31" s="6" t="str">
        <f t="shared" si="6"/>
        <v/>
      </c>
      <c r="O31" s="6" t="str">
        <f t="shared" si="7"/>
        <v/>
      </c>
      <c r="P31" s="6" t="str">
        <f t="shared" si="8"/>
        <v/>
      </c>
      <c r="Q31" s="6" t="str">
        <f t="shared" si="9"/>
        <v/>
      </c>
    </row>
    <row r="32" spans="8:17" x14ac:dyDescent="0.3">
      <c r="M32" s="6" t="str">
        <f t="shared" si="5"/>
        <v/>
      </c>
      <c r="N32" s="6" t="str">
        <f t="shared" si="6"/>
        <v/>
      </c>
      <c r="O32" s="6" t="str">
        <f t="shared" si="7"/>
        <v/>
      </c>
      <c r="P32" s="6" t="str">
        <f t="shared" si="8"/>
        <v/>
      </c>
      <c r="Q32" s="6" t="str">
        <f t="shared" si="9"/>
        <v/>
      </c>
    </row>
    <row r="33" spans="13:17" x14ac:dyDescent="0.3">
      <c r="M33" s="6" t="str">
        <f t="shared" si="5"/>
        <v/>
      </c>
      <c r="N33" s="6" t="str">
        <f t="shared" si="6"/>
        <v/>
      </c>
      <c r="O33" s="6" t="str">
        <f t="shared" si="7"/>
        <v/>
      </c>
      <c r="P33" s="6" t="str">
        <f t="shared" si="8"/>
        <v/>
      </c>
      <c r="Q33" s="6" t="str">
        <f t="shared" si="9"/>
        <v/>
      </c>
    </row>
    <row r="34" spans="13:17" x14ac:dyDescent="0.3">
      <c r="M34" s="6" t="str">
        <f t="shared" si="5"/>
        <v/>
      </c>
      <c r="N34" s="6" t="str">
        <f t="shared" si="6"/>
        <v/>
      </c>
      <c r="O34" s="6" t="str">
        <f t="shared" si="7"/>
        <v/>
      </c>
      <c r="P34" s="6" t="str">
        <f t="shared" si="8"/>
        <v/>
      </c>
      <c r="Q34" s="6" t="str">
        <f t="shared" si="9"/>
        <v/>
      </c>
    </row>
    <row r="35" spans="13:17" x14ac:dyDescent="0.3">
      <c r="M35" s="6" t="str">
        <f t="shared" si="5"/>
        <v/>
      </c>
      <c r="N35" s="6" t="str">
        <f t="shared" si="6"/>
        <v/>
      </c>
      <c r="O35" s="6" t="str">
        <f t="shared" si="7"/>
        <v/>
      </c>
      <c r="P35" s="6" t="str">
        <f t="shared" si="8"/>
        <v/>
      </c>
      <c r="Q35" s="6" t="str">
        <f t="shared" si="9"/>
        <v/>
      </c>
    </row>
    <row r="36" spans="13:17" x14ac:dyDescent="0.3">
      <c r="M36" s="6" t="str">
        <f t="shared" si="5"/>
        <v/>
      </c>
      <c r="N36" s="6" t="str">
        <f t="shared" si="6"/>
        <v/>
      </c>
      <c r="O36" s="6" t="str">
        <f t="shared" si="7"/>
        <v/>
      </c>
      <c r="P36" s="6" t="str">
        <f t="shared" si="8"/>
        <v/>
      </c>
      <c r="Q36" s="6" t="str">
        <f t="shared" si="9"/>
        <v/>
      </c>
    </row>
    <row r="37" spans="13:17" x14ac:dyDescent="0.3">
      <c r="M37" s="6" t="str">
        <f t="shared" si="5"/>
        <v/>
      </c>
      <c r="N37" s="6" t="str">
        <f t="shared" si="6"/>
        <v/>
      </c>
      <c r="O37" s="6" t="str">
        <f t="shared" si="7"/>
        <v/>
      </c>
      <c r="P37" s="6" t="str">
        <f t="shared" si="8"/>
        <v/>
      </c>
      <c r="Q37" s="6" t="str">
        <f t="shared" si="9"/>
        <v/>
      </c>
    </row>
    <row r="38" spans="13:17" x14ac:dyDescent="0.3">
      <c r="M38" s="6" t="str">
        <f t="shared" si="5"/>
        <v/>
      </c>
      <c r="N38" s="6" t="str">
        <f t="shared" si="6"/>
        <v/>
      </c>
      <c r="O38" s="6" t="str">
        <f t="shared" si="7"/>
        <v/>
      </c>
      <c r="P38" s="6" t="str">
        <f t="shared" si="8"/>
        <v/>
      </c>
      <c r="Q38" s="6" t="str">
        <f t="shared" si="9"/>
        <v/>
      </c>
    </row>
    <row r="39" spans="13:17" x14ac:dyDescent="0.3">
      <c r="M39" s="6" t="str">
        <f t="shared" si="5"/>
        <v/>
      </c>
      <c r="N39" s="6" t="str">
        <f t="shared" si="6"/>
        <v/>
      </c>
      <c r="O39" s="6" t="str">
        <f t="shared" si="7"/>
        <v/>
      </c>
      <c r="P39" s="6" t="str">
        <f t="shared" si="8"/>
        <v/>
      </c>
      <c r="Q39" s="6" t="str">
        <f t="shared" si="9"/>
        <v/>
      </c>
    </row>
    <row r="40" spans="13:17" x14ac:dyDescent="0.3">
      <c r="M40" s="6" t="str">
        <f t="shared" si="5"/>
        <v/>
      </c>
      <c r="N40" s="6" t="str">
        <f t="shared" si="6"/>
        <v/>
      </c>
      <c r="O40" s="6" t="str">
        <f t="shared" si="7"/>
        <v/>
      </c>
      <c r="P40" s="6" t="str">
        <f t="shared" si="8"/>
        <v/>
      </c>
      <c r="Q40" s="6" t="str">
        <f t="shared" si="9"/>
        <v/>
      </c>
    </row>
    <row r="41" spans="13:17" x14ac:dyDescent="0.3">
      <c r="M41" s="6" t="str">
        <f t="shared" si="5"/>
        <v/>
      </c>
      <c r="N41" s="6" t="str">
        <f t="shared" si="6"/>
        <v/>
      </c>
      <c r="O41" s="6" t="str">
        <f t="shared" si="7"/>
        <v/>
      </c>
      <c r="P41" s="6" t="str">
        <f t="shared" si="8"/>
        <v/>
      </c>
      <c r="Q41" s="6" t="str">
        <f t="shared" si="9"/>
        <v/>
      </c>
    </row>
    <row r="42" spans="13:17" x14ac:dyDescent="0.3">
      <c r="M42" s="6" t="str">
        <f t="shared" si="5"/>
        <v/>
      </c>
      <c r="N42" s="6" t="str">
        <f t="shared" si="6"/>
        <v/>
      </c>
      <c r="O42" s="6" t="str">
        <f t="shared" si="7"/>
        <v/>
      </c>
      <c r="P42" s="6" t="str">
        <f t="shared" si="8"/>
        <v/>
      </c>
      <c r="Q42" s="6" t="str">
        <f t="shared" si="9"/>
        <v/>
      </c>
    </row>
    <row r="43" spans="13:17" x14ac:dyDescent="0.3">
      <c r="M43" s="6" t="str">
        <f t="shared" si="5"/>
        <v/>
      </c>
      <c r="N43" s="6" t="str">
        <f t="shared" si="6"/>
        <v/>
      </c>
      <c r="O43" s="6" t="str">
        <f t="shared" si="7"/>
        <v/>
      </c>
      <c r="P43" s="6" t="str">
        <f t="shared" si="8"/>
        <v/>
      </c>
      <c r="Q43" s="6" t="str">
        <f t="shared" si="9"/>
        <v/>
      </c>
    </row>
    <row r="44" spans="13:17" x14ac:dyDescent="0.3">
      <c r="M44" s="6" t="str">
        <f t="shared" si="5"/>
        <v/>
      </c>
      <c r="N44" s="6" t="str">
        <f t="shared" si="6"/>
        <v/>
      </c>
      <c r="O44" s="6" t="str">
        <f t="shared" si="7"/>
        <v/>
      </c>
      <c r="P44" s="6" t="str">
        <f t="shared" si="8"/>
        <v/>
      </c>
      <c r="Q44" s="6" t="str">
        <f t="shared" si="9"/>
        <v/>
      </c>
    </row>
    <row r="45" spans="13:17" x14ac:dyDescent="0.3">
      <c r="M45" s="6" t="str">
        <f t="shared" si="5"/>
        <v/>
      </c>
      <c r="N45" s="6" t="str">
        <f t="shared" si="6"/>
        <v/>
      </c>
      <c r="O45" s="6" t="str">
        <f t="shared" si="7"/>
        <v/>
      </c>
      <c r="P45" s="6" t="str">
        <f t="shared" si="8"/>
        <v/>
      </c>
      <c r="Q45" s="6" t="str">
        <f t="shared" si="9"/>
        <v/>
      </c>
    </row>
    <row r="46" spans="13:17" x14ac:dyDescent="0.3">
      <c r="M46" s="6" t="str">
        <f t="shared" si="5"/>
        <v/>
      </c>
      <c r="N46" s="6" t="str">
        <f t="shared" si="6"/>
        <v/>
      </c>
      <c r="O46" s="6" t="str">
        <f t="shared" si="7"/>
        <v/>
      </c>
      <c r="P46" s="6" t="str">
        <f t="shared" si="8"/>
        <v/>
      </c>
      <c r="Q46" s="6" t="str">
        <f t="shared" si="9"/>
        <v/>
      </c>
    </row>
    <row r="47" spans="13:17" x14ac:dyDescent="0.3">
      <c r="M47" s="6" t="str">
        <f t="shared" si="5"/>
        <v/>
      </c>
      <c r="N47" s="6" t="str">
        <f t="shared" si="6"/>
        <v/>
      </c>
      <c r="O47" s="6" t="str">
        <f t="shared" si="7"/>
        <v/>
      </c>
      <c r="P47" s="6" t="str">
        <f t="shared" si="8"/>
        <v/>
      </c>
      <c r="Q47" s="6" t="str">
        <f t="shared" si="9"/>
        <v/>
      </c>
    </row>
    <row r="48" spans="13:17" x14ac:dyDescent="0.3">
      <c r="M48" s="6" t="str">
        <f t="shared" si="5"/>
        <v/>
      </c>
      <c r="N48" s="6" t="str">
        <f t="shared" si="6"/>
        <v/>
      </c>
      <c r="O48" s="6" t="str">
        <f t="shared" si="7"/>
        <v/>
      </c>
      <c r="P48" s="6" t="str">
        <f t="shared" si="8"/>
        <v/>
      </c>
      <c r="Q48" s="6" t="str">
        <f t="shared" si="9"/>
        <v/>
      </c>
    </row>
    <row r="49" spans="13:17" x14ac:dyDescent="0.3">
      <c r="M49" s="6" t="str">
        <f t="shared" si="5"/>
        <v/>
      </c>
      <c r="N49" s="6" t="str">
        <f t="shared" si="6"/>
        <v/>
      </c>
      <c r="O49" s="6" t="str">
        <f t="shared" si="7"/>
        <v/>
      </c>
      <c r="P49" s="6" t="str">
        <f t="shared" si="8"/>
        <v/>
      </c>
      <c r="Q49" s="6" t="str">
        <f t="shared" si="9"/>
        <v/>
      </c>
    </row>
    <row r="50" spans="13:17" x14ac:dyDescent="0.3">
      <c r="M50" s="6" t="str">
        <f t="shared" si="5"/>
        <v/>
      </c>
      <c r="N50" s="6" t="str">
        <f t="shared" si="6"/>
        <v/>
      </c>
      <c r="O50" s="6" t="str">
        <f t="shared" si="7"/>
        <v/>
      </c>
      <c r="P50" s="6" t="str">
        <f t="shared" si="8"/>
        <v/>
      </c>
      <c r="Q50" s="6" t="str">
        <f t="shared" si="9"/>
        <v/>
      </c>
    </row>
    <row r="51" spans="13:17" x14ac:dyDescent="0.3">
      <c r="M51" s="6" t="str">
        <f t="shared" si="5"/>
        <v/>
      </c>
      <c r="N51" s="6" t="str">
        <f t="shared" si="6"/>
        <v/>
      </c>
      <c r="O51" s="6" t="str">
        <f t="shared" si="7"/>
        <v/>
      </c>
      <c r="P51" s="6" t="str">
        <f t="shared" si="8"/>
        <v/>
      </c>
      <c r="Q51" s="6" t="str">
        <f t="shared" si="9"/>
        <v/>
      </c>
    </row>
    <row r="52" spans="13:17" x14ac:dyDescent="0.3">
      <c r="M52" s="6" t="str">
        <f t="shared" si="5"/>
        <v/>
      </c>
      <c r="N52" s="6" t="str">
        <f t="shared" si="6"/>
        <v/>
      </c>
      <c r="O52" s="6" t="str">
        <f t="shared" si="7"/>
        <v/>
      </c>
      <c r="P52" s="6" t="str">
        <f t="shared" si="8"/>
        <v/>
      </c>
      <c r="Q52" s="6" t="str">
        <f t="shared" si="9"/>
        <v/>
      </c>
    </row>
    <row r="53" spans="13:17" x14ac:dyDescent="0.3">
      <c r="M53" s="6" t="str">
        <f t="shared" si="5"/>
        <v/>
      </c>
      <c r="N53" s="6" t="str">
        <f t="shared" si="6"/>
        <v/>
      </c>
      <c r="O53" s="6" t="str">
        <f t="shared" si="7"/>
        <v/>
      </c>
      <c r="P53" s="6" t="str">
        <f t="shared" si="8"/>
        <v/>
      </c>
      <c r="Q53" s="6" t="str">
        <f t="shared" si="9"/>
        <v/>
      </c>
    </row>
    <row r="54" spans="13:17" x14ac:dyDescent="0.3">
      <c r="M54" s="6" t="str">
        <f t="shared" si="5"/>
        <v/>
      </c>
      <c r="N54" s="6" t="str">
        <f t="shared" si="6"/>
        <v/>
      </c>
      <c r="O54" s="6" t="str">
        <f t="shared" si="7"/>
        <v/>
      </c>
      <c r="P54" s="6" t="str">
        <f t="shared" si="8"/>
        <v/>
      </c>
      <c r="Q54" s="6" t="str">
        <f t="shared" si="9"/>
        <v/>
      </c>
    </row>
    <row r="55" spans="13:17" x14ac:dyDescent="0.3">
      <c r="M55" s="6" t="str">
        <f t="shared" si="5"/>
        <v/>
      </c>
      <c r="N55" s="6" t="str">
        <f t="shared" si="6"/>
        <v/>
      </c>
      <c r="O55" s="6" t="str">
        <f t="shared" si="7"/>
        <v/>
      </c>
      <c r="P55" s="6" t="str">
        <f t="shared" si="8"/>
        <v/>
      </c>
      <c r="Q55" s="6" t="str">
        <f t="shared" si="9"/>
        <v/>
      </c>
    </row>
    <row r="56" spans="13:17" x14ac:dyDescent="0.3">
      <c r="M56" s="6" t="str">
        <f t="shared" si="5"/>
        <v/>
      </c>
      <c r="N56" s="6" t="str">
        <f t="shared" si="6"/>
        <v/>
      </c>
      <c r="O56" s="6" t="str">
        <f t="shared" si="7"/>
        <v/>
      </c>
      <c r="P56" s="6" t="str">
        <f t="shared" si="8"/>
        <v/>
      </c>
      <c r="Q56" s="6" t="str">
        <f t="shared" si="9"/>
        <v/>
      </c>
    </row>
    <row r="57" spans="13:17" x14ac:dyDescent="0.3">
      <c r="M57" s="6" t="str">
        <f t="shared" si="5"/>
        <v/>
      </c>
      <c r="N57" s="6" t="str">
        <f t="shared" si="6"/>
        <v/>
      </c>
      <c r="O57" s="6" t="str">
        <f t="shared" si="7"/>
        <v/>
      </c>
      <c r="P57" s="6" t="str">
        <f t="shared" si="8"/>
        <v/>
      </c>
      <c r="Q57" s="6" t="str">
        <f t="shared" si="9"/>
        <v/>
      </c>
    </row>
    <row r="58" spans="13:17" x14ac:dyDescent="0.3">
      <c r="M58" s="6" t="str">
        <f t="shared" si="5"/>
        <v/>
      </c>
      <c r="N58" s="6" t="str">
        <f t="shared" si="6"/>
        <v/>
      </c>
      <c r="O58" s="6" t="str">
        <f t="shared" si="7"/>
        <v/>
      </c>
      <c r="P58" s="6" t="str">
        <f t="shared" si="8"/>
        <v/>
      </c>
      <c r="Q58" s="6" t="str">
        <f t="shared" si="9"/>
        <v/>
      </c>
    </row>
    <row r="59" spans="13:17" x14ac:dyDescent="0.3">
      <c r="M59" s="6" t="str">
        <f t="shared" si="5"/>
        <v/>
      </c>
      <c r="N59" s="6" t="str">
        <f t="shared" si="6"/>
        <v/>
      </c>
      <c r="O59" s="6" t="str">
        <f t="shared" si="7"/>
        <v/>
      </c>
      <c r="P59" s="6" t="str">
        <f t="shared" si="8"/>
        <v/>
      </c>
      <c r="Q59" s="6" t="str">
        <f t="shared" si="9"/>
        <v/>
      </c>
    </row>
    <row r="60" spans="13:17" x14ac:dyDescent="0.3">
      <c r="M60" s="6" t="str">
        <f t="shared" si="5"/>
        <v/>
      </c>
      <c r="N60" s="6" t="str">
        <f t="shared" si="6"/>
        <v/>
      </c>
      <c r="O60" s="6" t="str">
        <f t="shared" si="7"/>
        <v/>
      </c>
      <c r="P60" s="6" t="str">
        <f t="shared" si="8"/>
        <v/>
      </c>
      <c r="Q60" s="6" t="str">
        <f t="shared" si="9"/>
        <v/>
      </c>
    </row>
    <row r="61" spans="13:17" x14ac:dyDescent="0.3">
      <c r="M61" s="6" t="str">
        <f t="shared" si="5"/>
        <v/>
      </c>
      <c r="N61" s="6" t="str">
        <f t="shared" si="6"/>
        <v/>
      </c>
      <c r="O61" s="6" t="str">
        <f t="shared" si="7"/>
        <v/>
      </c>
      <c r="P61" s="6" t="str">
        <f t="shared" si="8"/>
        <v/>
      </c>
      <c r="Q61" s="6" t="str">
        <f t="shared" si="9"/>
        <v/>
      </c>
    </row>
    <row r="62" spans="13:17" x14ac:dyDescent="0.3">
      <c r="M62" s="6" t="str">
        <f t="shared" si="5"/>
        <v/>
      </c>
      <c r="N62" s="6" t="str">
        <f t="shared" si="6"/>
        <v/>
      </c>
      <c r="O62" s="6" t="str">
        <f t="shared" si="7"/>
        <v/>
      </c>
      <c r="P62" s="6" t="str">
        <f t="shared" si="8"/>
        <v/>
      </c>
      <c r="Q62" s="6" t="str">
        <f t="shared" si="9"/>
        <v/>
      </c>
    </row>
    <row r="63" spans="13:17" x14ac:dyDescent="0.3">
      <c r="M63" s="6" t="str">
        <f t="shared" si="5"/>
        <v/>
      </c>
      <c r="N63" s="6" t="str">
        <f t="shared" si="6"/>
        <v/>
      </c>
      <c r="O63" s="6" t="str">
        <f t="shared" si="7"/>
        <v/>
      </c>
      <c r="P63" s="6" t="str">
        <f t="shared" si="8"/>
        <v/>
      </c>
      <c r="Q63" s="6" t="str">
        <f t="shared" si="9"/>
        <v/>
      </c>
    </row>
    <row r="64" spans="13:17" x14ac:dyDescent="0.3">
      <c r="M64" s="6" t="str">
        <f t="shared" si="5"/>
        <v/>
      </c>
      <c r="N64" s="6" t="str">
        <f t="shared" si="6"/>
        <v/>
      </c>
      <c r="O64" s="6" t="str">
        <f t="shared" si="7"/>
        <v/>
      </c>
      <c r="P64" s="6" t="str">
        <f t="shared" si="8"/>
        <v/>
      </c>
      <c r="Q64" s="6" t="str">
        <f t="shared" si="9"/>
        <v/>
      </c>
    </row>
    <row r="65" spans="13:17" x14ac:dyDescent="0.3">
      <c r="M65" s="6" t="str">
        <f t="shared" si="5"/>
        <v/>
      </c>
      <c r="N65" s="6" t="str">
        <f t="shared" si="6"/>
        <v/>
      </c>
      <c r="O65" s="6" t="str">
        <f t="shared" si="7"/>
        <v/>
      </c>
      <c r="P65" s="6" t="str">
        <f t="shared" si="8"/>
        <v/>
      </c>
      <c r="Q65" s="6" t="str">
        <f t="shared" si="9"/>
        <v/>
      </c>
    </row>
    <row r="66" spans="13:17" x14ac:dyDescent="0.3">
      <c r="M66" s="6" t="str">
        <f t="shared" si="5"/>
        <v/>
      </c>
      <c r="N66" s="6" t="str">
        <f t="shared" si="6"/>
        <v/>
      </c>
      <c r="O66" s="6" t="str">
        <f t="shared" si="7"/>
        <v/>
      </c>
      <c r="P66" s="6" t="str">
        <f t="shared" si="8"/>
        <v/>
      </c>
      <c r="Q66" s="6" t="str">
        <f t="shared" si="9"/>
        <v/>
      </c>
    </row>
    <row r="67" spans="13:17" x14ac:dyDescent="0.3">
      <c r="M67" s="6" t="str">
        <f t="shared" si="5"/>
        <v/>
      </c>
      <c r="N67" s="6" t="str">
        <f t="shared" si="6"/>
        <v/>
      </c>
      <c r="O67" s="6" t="str">
        <f t="shared" si="7"/>
        <v/>
      </c>
      <c r="P67" s="6" t="str">
        <f t="shared" si="8"/>
        <v/>
      </c>
      <c r="Q67" s="6" t="str">
        <f t="shared" si="9"/>
        <v/>
      </c>
    </row>
    <row r="68" spans="13:17" x14ac:dyDescent="0.3">
      <c r="M68" s="6" t="str">
        <f t="shared" si="5"/>
        <v/>
      </c>
      <c r="N68" s="6" t="str">
        <f t="shared" si="6"/>
        <v/>
      </c>
      <c r="O68" s="6" t="str">
        <f t="shared" si="7"/>
        <v/>
      </c>
      <c r="P68" s="6" t="str">
        <f t="shared" si="8"/>
        <v/>
      </c>
      <c r="Q68" s="6" t="str">
        <f t="shared" si="9"/>
        <v/>
      </c>
    </row>
    <row r="69" spans="13:17" x14ac:dyDescent="0.3">
      <c r="M69" s="6" t="str">
        <f t="shared" si="5"/>
        <v/>
      </c>
      <c r="N69" s="6" t="str">
        <f t="shared" si="6"/>
        <v/>
      </c>
      <c r="O69" s="6" t="str">
        <f t="shared" si="7"/>
        <v/>
      </c>
      <c r="P69" s="6" t="str">
        <f t="shared" si="8"/>
        <v/>
      </c>
      <c r="Q69" s="6" t="str">
        <f t="shared" si="9"/>
        <v/>
      </c>
    </row>
    <row r="70" spans="13:17" x14ac:dyDescent="0.3">
      <c r="M70" s="6" t="str">
        <f t="shared" si="5"/>
        <v/>
      </c>
      <c r="N70" s="6" t="str">
        <f t="shared" si="6"/>
        <v/>
      </c>
      <c r="O70" s="6" t="str">
        <f t="shared" si="7"/>
        <v/>
      </c>
      <c r="P70" s="6" t="str">
        <f t="shared" si="8"/>
        <v/>
      </c>
      <c r="Q70" s="6" t="str">
        <f t="shared" si="9"/>
        <v/>
      </c>
    </row>
    <row r="71" spans="13:17" x14ac:dyDescent="0.3">
      <c r="M71" s="6" t="str">
        <f t="shared" si="5"/>
        <v/>
      </c>
      <c r="N71" s="6" t="str">
        <f t="shared" si="6"/>
        <v/>
      </c>
      <c r="O71" s="6" t="str">
        <f t="shared" si="7"/>
        <v/>
      </c>
      <c r="P71" s="6" t="str">
        <f t="shared" si="8"/>
        <v/>
      </c>
      <c r="Q71" s="6" t="str">
        <f t="shared" si="9"/>
        <v/>
      </c>
    </row>
    <row r="72" spans="13:17" x14ac:dyDescent="0.3">
      <c r="M72" s="6" t="str">
        <f t="shared" si="5"/>
        <v/>
      </c>
      <c r="N72" s="6" t="str">
        <f t="shared" si="6"/>
        <v/>
      </c>
      <c r="O72" s="6" t="str">
        <f t="shared" si="7"/>
        <v/>
      </c>
      <c r="P72" s="6" t="str">
        <f t="shared" si="8"/>
        <v/>
      </c>
      <c r="Q72" s="6" t="str">
        <f t="shared" si="9"/>
        <v/>
      </c>
    </row>
    <row r="73" spans="13:17" x14ac:dyDescent="0.3">
      <c r="M73" s="6" t="str">
        <f t="shared" si="5"/>
        <v/>
      </c>
      <c r="N73" s="6" t="str">
        <f t="shared" si="6"/>
        <v/>
      </c>
      <c r="O73" s="6" t="str">
        <f t="shared" si="7"/>
        <v/>
      </c>
      <c r="P73" s="6" t="str">
        <f t="shared" si="8"/>
        <v/>
      </c>
      <c r="Q73" s="6" t="str">
        <f t="shared" si="9"/>
        <v/>
      </c>
    </row>
    <row r="74" spans="13:17" x14ac:dyDescent="0.3">
      <c r="M74" s="6" t="str">
        <f t="shared" si="5"/>
        <v/>
      </c>
      <c r="N74" s="6" t="str">
        <f t="shared" si="6"/>
        <v/>
      </c>
      <c r="O74" s="6" t="str">
        <f t="shared" si="7"/>
        <v/>
      </c>
      <c r="P74" s="6" t="str">
        <f t="shared" si="8"/>
        <v/>
      </c>
      <c r="Q74" s="6" t="str">
        <f t="shared" si="9"/>
        <v/>
      </c>
    </row>
    <row r="75" spans="13:17" x14ac:dyDescent="0.3">
      <c r="M75" s="6" t="str">
        <f t="shared" si="5"/>
        <v/>
      </c>
      <c r="N75" s="6" t="str">
        <f t="shared" si="6"/>
        <v/>
      </c>
      <c r="O75" s="6" t="str">
        <f t="shared" si="7"/>
        <v/>
      </c>
      <c r="P75" s="6" t="str">
        <f t="shared" si="8"/>
        <v/>
      </c>
      <c r="Q75" s="6" t="str">
        <f t="shared" si="9"/>
        <v/>
      </c>
    </row>
    <row r="76" spans="13:17" x14ac:dyDescent="0.3">
      <c r="M76" s="6" t="str">
        <f t="shared" ref="M76:M100" si="10">IF(OR(I76="",F76=""),"",IF(OR(I76&lt;=0,F76&lt;=0),"",0.95*((I76^3)/F76)^0.385))</f>
        <v/>
      </c>
      <c r="N76" s="6" t="str">
        <f t="shared" ref="N76:N100" si="11">IF(OR(B76="",I76="",G76="",D76=""),"",IF(OR(B76&lt;=0,I76&lt;=0,G76&lt;=D76),"",(4*SQRT(B76)+1.5*I76)/(0.8*SQRT(G76-D76))))</f>
        <v/>
      </c>
      <c r="O76" s="6" t="str">
        <f t="shared" ref="O76:O100" si="12">IF(OR(I76="",C76="",H76=""),"",IF(OR(I76&lt;=0,H76&lt;=0,C76&lt;=0,C76&gt;100),"",((100*((I76*1000/0.3048)^0.8)*(((1000/C76)-9)^0.7))/(1900*SQRT(H76*100)))/60))</f>
        <v/>
      </c>
      <c r="P76" s="6" t="str">
        <f t="shared" ref="P76:P100" si="13">IF(OR(I76="",H76=""),"",IF(OR(I76&lt;=0,H76&lt;=0),"",(18*(I76^0.76)/(H76^0.19))/60))</f>
        <v/>
      </c>
      <c r="Q76" s="6" t="str">
        <f t="shared" ref="Q76:Q100" si="14">IF(OR(I76="",K76=""),"",IF(OR(I76&lt;=0,K76&lt;=0),"",I76/(3.6*K76)))</f>
        <v/>
      </c>
    </row>
    <row r="77" spans="13:17" x14ac:dyDescent="0.3">
      <c r="M77" s="6" t="str">
        <f t="shared" si="10"/>
        <v/>
      </c>
      <c r="N77" s="6" t="str">
        <f t="shared" si="11"/>
        <v/>
      </c>
      <c r="O77" s="6" t="str">
        <f t="shared" si="12"/>
        <v/>
      </c>
      <c r="P77" s="6" t="str">
        <f t="shared" si="13"/>
        <v/>
      </c>
      <c r="Q77" s="6" t="str">
        <f t="shared" si="14"/>
        <v/>
      </c>
    </row>
    <row r="78" spans="13:17" x14ac:dyDescent="0.3">
      <c r="M78" s="6" t="str">
        <f t="shared" si="10"/>
        <v/>
      </c>
      <c r="N78" s="6" t="str">
        <f t="shared" si="11"/>
        <v/>
      </c>
      <c r="O78" s="6" t="str">
        <f t="shared" si="12"/>
        <v/>
      </c>
      <c r="P78" s="6" t="str">
        <f t="shared" si="13"/>
        <v/>
      </c>
      <c r="Q78" s="6" t="str">
        <f t="shared" si="14"/>
        <v/>
      </c>
    </row>
    <row r="79" spans="13:17" x14ac:dyDescent="0.3">
      <c r="M79" s="6" t="str">
        <f t="shared" si="10"/>
        <v/>
      </c>
      <c r="N79" s="6" t="str">
        <f t="shared" si="11"/>
        <v/>
      </c>
      <c r="O79" s="6" t="str">
        <f t="shared" si="12"/>
        <v/>
      </c>
      <c r="P79" s="6" t="str">
        <f t="shared" si="13"/>
        <v/>
      </c>
      <c r="Q79" s="6" t="str">
        <f t="shared" si="14"/>
        <v/>
      </c>
    </row>
    <row r="80" spans="13:17" x14ac:dyDescent="0.3">
      <c r="M80" s="6" t="str">
        <f t="shared" si="10"/>
        <v/>
      </c>
      <c r="N80" s="6" t="str">
        <f t="shared" si="11"/>
        <v/>
      </c>
      <c r="O80" s="6" t="str">
        <f t="shared" si="12"/>
        <v/>
      </c>
      <c r="P80" s="6" t="str">
        <f t="shared" si="13"/>
        <v/>
      </c>
      <c r="Q80" s="6" t="str">
        <f t="shared" si="14"/>
        <v/>
      </c>
    </row>
    <row r="81" spans="13:17" x14ac:dyDescent="0.3">
      <c r="M81" s="6" t="str">
        <f t="shared" si="10"/>
        <v/>
      </c>
      <c r="N81" s="6" t="str">
        <f t="shared" si="11"/>
        <v/>
      </c>
      <c r="O81" s="6" t="str">
        <f t="shared" si="12"/>
        <v/>
      </c>
      <c r="P81" s="6" t="str">
        <f t="shared" si="13"/>
        <v/>
      </c>
      <c r="Q81" s="6" t="str">
        <f t="shared" si="14"/>
        <v/>
      </c>
    </row>
    <row r="82" spans="13:17" x14ac:dyDescent="0.3">
      <c r="M82" s="6" t="str">
        <f t="shared" si="10"/>
        <v/>
      </c>
      <c r="N82" s="6" t="str">
        <f t="shared" si="11"/>
        <v/>
      </c>
      <c r="O82" s="6" t="str">
        <f t="shared" si="12"/>
        <v/>
      </c>
      <c r="P82" s="6" t="str">
        <f t="shared" si="13"/>
        <v/>
      </c>
      <c r="Q82" s="6" t="str">
        <f t="shared" si="14"/>
        <v/>
      </c>
    </row>
    <row r="83" spans="13:17" x14ac:dyDescent="0.3">
      <c r="M83" s="6" t="str">
        <f t="shared" si="10"/>
        <v/>
      </c>
      <c r="N83" s="6" t="str">
        <f t="shared" si="11"/>
        <v/>
      </c>
      <c r="O83" s="6" t="str">
        <f t="shared" si="12"/>
        <v/>
      </c>
      <c r="P83" s="6" t="str">
        <f t="shared" si="13"/>
        <v/>
      </c>
      <c r="Q83" s="6" t="str">
        <f t="shared" si="14"/>
        <v/>
      </c>
    </row>
    <row r="84" spans="13:17" x14ac:dyDescent="0.3">
      <c r="M84" s="6" t="str">
        <f t="shared" si="10"/>
        <v/>
      </c>
      <c r="N84" s="6" t="str">
        <f t="shared" si="11"/>
        <v/>
      </c>
      <c r="O84" s="6" t="str">
        <f t="shared" si="12"/>
        <v/>
      </c>
      <c r="P84" s="6" t="str">
        <f t="shared" si="13"/>
        <v/>
      </c>
      <c r="Q84" s="6" t="str">
        <f t="shared" si="14"/>
        <v/>
      </c>
    </row>
    <row r="85" spans="13:17" x14ac:dyDescent="0.3">
      <c r="M85" s="6" t="str">
        <f t="shared" si="10"/>
        <v/>
      </c>
      <c r="N85" s="6" t="str">
        <f t="shared" si="11"/>
        <v/>
      </c>
      <c r="O85" s="6" t="str">
        <f t="shared" si="12"/>
        <v/>
      </c>
      <c r="P85" s="6" t="str">
        <f t="shared" si="13"/>
        <v/>
      </c>
      <c r="Q85" s="6" t="str">
        <f t="shared" si="14"/>
        <v/>
      </c>
    </row>
    <row r="86" spans="13:17" x14ac:dyDescent="0.3">
      <c r="M86" s="6" t="str">
        <f t="shared" si="10"/>
        <v/>
      </c>
      <c r="N86" s="6" t="str">
        <f t="shared" si="11"/>
        <v/>
      </c>
      <c r="O86" s="6" t="str">
        <f t="shared" si="12"/>
        <v/>
      </c>
      <c r="P86" s="6" t="str">
        <f t="shared" si="13"/>
        <v/>
      </c>
      <c r="Q86" s="6" t="str">
        <f t="shared" si="14"/>
        <v/>
      </c>
    </row>
    <row r="87" spans="13:17" x14ac:dyDescent="0.3">
      <c r="M87" s="6" t="str">
        <f t="shared" si="10"/>
        <v/>
      </c>
      <c r="N87" s="6" t="str">
        <f t="shared" si="11"/>
        <v/>
      </c>
      <c r="O87" s="6" t="str">
        <f t="shared" si="12"/>
        <v/>
      </c>
      <c r="P87" s="6" t="str">
        <f t="shared" si="13"/>
        <v/>
      </c>
      <c r="Q87" s="6" t="str">
        <f t="shared" si="14"/>
        <v/>
      </c>
    </row>
    <row r="88" spans="13:17" x14ac:dyDescent="0.3">
      <c r="M88" s="6" t="str">
        <f t="shared" si="10"/>
        <v/>
      </c>
      <c r="N88" s="6" t="str">
        <f t="shared" si="11"/>
        <v/>
      </c>
      <c r="O88" s="6" t="str">
        <f t="shared" si="12"/>
        <v/>
      </c>
      <c r="P88" s="6" t="str">
        <f t="shared" si="13"/>
        <v/>
      </c>
      <c r="Q88" s="6" t="str">
        <f t="shared" si="14"/>
        <v/>
      </c>
    </row>
    <row r="89" spans="13:17" x14ac:dyDescent="0.3">
      <c r="M89" s="6" t="str">
        <f t="shared" si="10"/>
        <v/>
      </c>
      <c r="N89" s="6" t="str">
        <f t="shared" si="11"/>
        <v/>
      </c>
      <c r="O89" s="6" t="str">
        <f t="shared" si="12"/>
        <v/>
      </c>
      <c r="P89" s="6" t="str">
        <f t="shared" si="13"/>
        <v/>
      </c>
      <c r="Q89" s="6" t="str">
        <f t="shared" si="14"/>
        <v/>
      </c>
    </row>
    <row r="90" spans="13:17" x14ac:dyDescent="0.3">
      <c r="M90" s="6" t="str">
        <f t="shared" si="10"/>
        <v/>
      </c>
      <c r="N90" s="6" t="str">
        <f t="shared" si="11"/>
        <v/>
      </c>
      <c r="O90" s="6" t="str">
        <f t="shared" si="12"/>
        <v/>
      </c>
      <c r="P90" s="6" t="str">
        <f t="shared" si="13"/>
        <v/>
      </c>
      <c r="Q90" s="6" t="str">
        <f t="shared" si="14"/>
        <v/>
      </c>
    </row>
    <row r="91" spans="13:17" x14ac:dyDescent="0.3">
      <c r="M91" s="6" t="str">
        <f t="shared" si="10"/>
        <v/>
      </c>
      <c r="N91" s="6" t="str">
        <f t="shared" si="11"/>
        <v/>
      </c>
      <c r="O91" s="6" t="str">
        <f t="shared" si="12"/>
        <v/>
      </c>
      <c r="P91" s="6" t="str">
        <f t="shared" si="13"/>
        <v/>
      </c>
      <c r="Q91" s="6" t="str">
        <f t="shared" si="14"/>
        <v/>
      </c>
    </row>
    <row r="92" spans="13:17" x14ac:dyDescent="0.3">
      <c r="M92" s="6" t="str">
        <f t="shared" si="10"/>
        <v/>
      </c>
      <c r="N92" s="6" t="str">
        <f t="shared" si="11"/>
        <v/>
      </c>
      <c r="O92" s="6" t="str">
        <f t="shared" si="12"/>
        <v/>
      </c>
      <c r="P92" s="6" t="str">
        <f t="shared" si="13"/>
        <v/>
      </c>
      <c r="Q92" s="6" t="str">
        <f t="shared" si="14"/>
        <v/>
      </c>
    </row>
    <row r="93" spans="13:17" x14ac:dyDescent="0.3">
      <c r="M93" s="6" t="str">
        <f t="shared" si="10"/>
        <v/>
      </c>
      <c r="N93" s="6" t="str">
        <f t="shared" si="11"/>
        <v/>
      </c>
      <c r="O93" s="6" t="str">
        <f t="shared" si="12"/>
        <v/>
      </c>
      <c r="P93" s="6" t="str">
        <f t="shared" si="13"/>
        <v/>
      </c>
      <c r="Q93" s="6" t="str">
        <f t="shared" si="14"/>
        <v/>
      </c>
    </row>
    <row r="94" spans="13:17" x14ac:dyDescent="0.3">
      <c r="M94" s="6" t="str">
        <f t="shared" si="10"/>
        <v/>
      </c>
      <c r="N94" s="6" t="str">
        <f t="shared" si="11"/>
        <v/>
      </c>
      <c r="O94" s="6" t="str">
        <f t="shared" si="12"/>
        <v/>
      </c>
      <c r="P94" s="6" t="str">
        <f t="shared" si="13"/>
        <v/>
      </c>
      <c r="Q94" s="6" t="str">
        <f t="shared" si="14"/>
        <v/>
      </c>
    </row>
    <row r="95" spans="13:17" x14ac:dyDescent="0.3">
      <c r="M95" s="6" t="str">
        <f t="shared" si="10"/>
        <v/>
      </c>
      <c r="N95" s="6" t="str">
        <f t="shared" si="11"/>
        <v/>
      </c>
      <c r="O95" s="6" t="str">
        <f t="shared" si="12"/>
        <v/>
      </c>
      <c r="P95" s="6" t="str">
        <f t="shared" si="13"/>
        <v/>
      </c>
      <c r="Q95" s="6" t="str">
        <f t="shared" si="14"/>
        <v/>
      </c>
    </row>
    <row r="96" spans="13:17" x14ac:dyDescent="0.3">
      <c r="M96" s="6" t="str">
        <f t="shared" si="10"/>
        <v/>
      </c>
      <c r="N96" s="6" t="str">
        <f t="shared" si="11"/>
        <v/>
      </c>
      <c r="O96" s="6" t="str">
        <f t="shared" si="12"/>
        <v/>
      </c>
      <c r="P96" s="6" t="str">
        <f t="shared" si="13"/>
        <v/>
      </c>
      <c r="Q96" s="6" t="str">
        <f t="shared" si="14"/>
        <v/>
      </c>
    </row>
    <row r="97" spans="13:17" x14ac:dyDescent="0.3">
      <c r="M97" s="6" t="str">
        <f t="shared" si="10"/>
        <v/>
      </c>
      <c r="N97" s="6" t="str">
        <f t="shared" si="11"/>
        <v/>
      </c>
      <c r="O97" s="6" t="str">
        <f t="shared" si="12"/>
        <v/>
      </c>
      <c r="P97" s="6" t="str">
        <f t="shared" si="13"/>
        <v/>
      </c>
      <c r="Q97" s="6" t="str">
        <f t="shared" si="14"/>
        <v/>
      </c>
    </row>
    <row r="98" spans="13:17" x14ac:dyDescent="0.3">
      <c r="M98" s="6" t="str">
        <f t="shared" si="10"/>
        <v/>
      </c>
      <c r="N98" s="6" t="str">
        <f t="shared" si="11"/>
        <v/>
      </c>
      <c r="O98" s="6" t="str">
        <f t="shared" si="12"/>
        <v/>
      </c>
      <c r="P98" s="6" t="str">
        <f t="shared" si="13"/>
        <v/>
      </c>
      <c r="Q98" s="6" t="str">
        <f t="shared" si="14"/>
        <v/>
      </c>
    </row>
    <row r="99" spans="13:17" x14ac:dyDescent="0.3">
      <c r="M99" s="6" t="str">
        <f t="shared" si="10"/>
        <v/>
      </c>
      <c r="N99" s="6" t="str">
        <f t="shared" si="11"/>
        <v/>
      </c>
      <c r="O99" s="6" t="str">
        <f t="shared" si="12"/>
        <v/>
      </c>
      <c r="P99" s="6" t="str">
        <f t="shared" si="13"/>
        <v/>
      </c>
      <c r="Q99" s="6" t="str">
        <f t="shared" si="14"/>
        <v/>
      </c>
    </row>
    <row r="100" spans="13:17" x14ac:dyDescent="0.3">
      <c r="M100" s="6" t="str">
        <f t="shared" si="10"/>
        <v/>
      </c>
      <c r="N100" s="6" t="str">
        <f t="shared" si="11"/>
        <v/>
      </c>
      <c r="O100" s="6" t="str">
        <f t="shared" si="12"/>
        <v/>
      </c>
      <c r="P100" s="6" t="str">
        <f t="shared" si="13"/>
        <v/>
      </c>
      <c r="Q100" s="6" t="str">
        <f t="shared" si="14"/>
        <v/>
      </c>
    </row>
    <row r="101" spans="13:17" x14ac:dyDescent="0.3">
      <c r="M101" s="6" t="str">
        <f t="shared" ref="M101:M139" si="15">IF(OR(I101="",F101=""),"",IF(OR(I101&lt;=0,F101&lt;=0),"",0.95*((I101^3)/F101)^0.385))</f>
        <v/>
      </c>
      <c r="N101" s="6" t="str">
        <f t="shared" ref="N101:N139" si="16">IF(OR(B101="",I101="",G101="",D101=""),"",IF(OR(B101&lt;=0,I101&lt;=0,G101&lt;=D101),"",(4*SQRT(B101)+1.5*I101)/(0.8*SQRT(G101-D101))))</f>
        <v/>
      </c>
      <c r="O101" s="6" t="str">
        <f t="shared" ref="O101:O139" si="17">IF(OR(I101="",C101="",H101=""),"",IF(OR(I101&lt;=0,H101&lt;=0,C101&lt;=0,C101&gt;100),"",((100*((I101*1000/0.3048)^0.8)*(((1000/C101)-9)^0.7))/(1900*SQRT(H101*100)))/60))</f>
        <v/>
      </c>
      <c r="P101" s="6" t="str">
        <f t="shared" ref="P101:P139" si="18">IF(OR(I101="",H101=""),"",IF(OR(I101&lt;=0,H101&lt;=0),"",(18*(I101^0.76)/(H101^0.19))/60))</f>
        <v/>
      </c>
      <c r="Q101" s="6" t="str">
        <f t="shared" ref="Q101:Q139" si="19">IF(OR(I101="",K101=""),"",IF(OR(I101&lt;=0,K101&lt;=0),"",I101/(3.6*K101)))</f>
        <v/>
      </c>
    </row>
    <row r="102" spans="13:17" x14ac:dyDescent="0.3">
      <c r="M102" s="6" t="str">
        <f t="shared" si="15"/>
        <v/>
      </c>
      <c r="N102" s="6" t="str">
        <f t="shared" si="16"/>
        <v/>
      </c>
      <c r="O102" s="6" t="str">
        <f t="shared" si="17"/>
        <v/>
      </c>
      <c r="P102" s="6" t="str">
        <f t="shared" si="18"/>
        <v/>
      </c>
      <c r="Q102" s="6" t="str">
        <f t="shared" si="19"/>
        <v/>
      </c>
    </row>
    <row r="103" spans="13:17" x14ac:dyDescent="0.3">
      <c r="M103" s="6" t="str">
        <f t="shared" si="15"/>
        <v/>
      </c>
      <c r="N103" s="6" t="str">
        <f t="shared" si="16"/>
        <v/>
      </c>
      <c r="O103" s="6" t="str">
        <f t="shared" si="17"/>
        <v/>
      </c>
      <c r="P103" s="6" t="str">
        <f t="shared" si="18"/>
        <v/>
      </c>
      <c r="Q103" s="6" t="str">
        <f t="shared" si="19"/>
        <v/>
      </c>
    </row>
    <row r="104" spans="13:17" x14ac:dyDescent="0.3">
      <c r="M104" s="6" t="str">
        <f t="shared" si="15"/>
        <v/>
      </c>
      <c r="N104" s="6" t="str">
        <f t="shared" si="16"/>
        <v/>
      </c>
      <c r="O104" s="6" t="str">
        <f t="shared" si="17"/>
        <v/>
      </c>
      <c r="P104" s="6" t="str">
        <f t="shared" si="18"/>
        <v/>
      </c>
      <c r="Q104" s="6" t="str">
        <f t="shared" si="19"/>
        <v/>
      </c>
    </row>
    <row r="105" spans="13:17" x14ac:dyDescent="0.3">
      <c r="M105" s="6" t="str">
        <f t="shared" si="15"/>
        <v/>
      </c>
      <c r="N105" s="6" t="str">
        <f t="shared" si="16"/>
        <v/>
      </c>
      <c r="O105" s="6" t="str">
        <f t="shared" si="17"/>
        <v/>
      </c>
      <c r="P105" s="6" t="str">
        <f t="shared" si="18"/>
        <v/>
      </c>
      <c r="Q105" s="6" t="str">
        <f t="shared" si="19"/>
        <v/>
      </c>
    </row>
    <row r="106" spans="13:17" x14ac:dyDescent="0.3">
      <c r="M106" s="6" t="str">
        <f t="shared" si="15"/>
        <v/>
      </c>
      <c r="N106" s="6" t="str">
        <f t="shared" si="16"/>
        <v/>
      </c>
      <c r="O106" s="6" t="str">
        <f t="shared" si="17"/>
        <v/>
      </c>
      <c r="P106" s="6" t="str">
        <f t="shared" si="18"/>
        <v/>
      </c>
      <c r="Q106" s="6" t="str">
        <f t="shared" si="19"/>
        <v/>
      </c>
    </row>
    <row r="107" spans="13:17" x14ac:dyDescent="0.3">
      <c r="M107" s="6" t="str">
        <f t="shared" si="15"/>
        <v/>
      </c>
      <c r="N107" s="6" t="str">
        <f t="shared" si="16"/>
        <v/>
      </c>
      <c r="O107" s="6" t="str">
        <f t="shared" si="17"/>
        <v/>
      </c>
      <c r="P107" s="6" t="str">
        <f t="shared" si="18"/>
        <v/>
      </c>
      <c r="Q107" s="6" t="str">
        <f t="shared" si="19"/>
        <v/>
      </c>
    </row>
    <row r="108" spans="13:17" x14ac:dyDescent="0.3">
      <c r="M108" s="6" t="str">
        <f t="shared" si="15"/>
        <v/>
      </c>
      <c r="N108" s="6" t="str">
        <f t="shared" si="16"/>
        <v/>
      </c>
      <c r="O108" s="6" t="str">
        <f t="shared" si="17"/>
        <v/>
      </c>
      <c r="P108" s="6" t="str">
        <f t="shared" si="18"/>
        <v/>
      </c>
      <c r="Q108" s="6" t="str">
        <f t="shared" si="19"/>
        <v/>
      </c>
    </row>
    <row r="109" spans="13:17" x14ac:dyDescent="0.3">
      <c r="M109" s="6" t="str">
        <f t="shared" si="15"/>
        <v/>
      </c>
      <c r="N109" s="6" t="str">
        <f t="shared" si="16"/>
        <v/>
      </c>
      <c r="O109" s="6" t="str">
        <f t="shared" si="17"/>
        <v/>
      </c>
      <c r="P109" s="6" t="str">
        <f t="shared" si="18"/>
        <v/>
      </c>
      <c r="Q109" s="6" t="str">
        <f t="shared" si="19"/>
        <v/>
      </c>
    </row>
    <row r="110" spans="13:17" x14ac:dyDescent="0.3">
      <c r="M110" s="6" t="str">
        <f t="shared" si="15"/>
        <v/>
      </c>
      <c r="N110" s="6" t="str">
        <f t="shared" si="16"/>
        <v/>
      </c>
      <c r="O110" s="6" t="str">
        <f t="shared" si="17"/>
        <v/>
      </c>
      <c r="P110" s="6" t="str">
        <f t="shared" si="18"/>
        <v/>
      </c>
      <c r="Q110" s="6" t="str">
        <f t="shared" si="19"/>
        <v/>
      </c>
    </row>
    <row r="111" spans="13:17" x14ac:dyDescent="0.3">
      <c r="M111" s="6" t="str">
        <f t="shared" si="15"/>
        <v/>
      </c>
      <c r="N111" s="6" t="str">
        <f t="shared" si="16"/>
        <v/>
      </c>
      <c r="O111" s="6" t="str">
        <f t="shared" si="17"/>
        <v/>
      </c>
      <c r="P111" s="6" t="str">
        <f t="shared" si="18"/>
        <v/>
      </c>
      <c r="Q111" s="6" t="str">
        <f t="shared" si="19"/>
        <v/>
      </c>
    </row>
    <row r="112" spans="13:17" x14ac:dyDescent="0.3">
      <c r="M112" s="6" t="str">
        <f t="shared" si="15"/>
        <v/>
      </c>
      <c r="N112" s="6" t="str">
        <f t="shared" si="16"/>
        <v/>
      </c>
      <c r="O112" s="6" t="str">
        <f t="shared" si="17"/>
        <v/>
      </c>
      <c r="P112" s="6" t="str">
        <f t="shared" si="18"/>
        <v/>
      </c>
      <c r="Q112" s="6" t="str">
        <f t="shared" si="19"/>
        <v/>
      </c>
    </row>
    <row r="113" spans="13:17" x14ac:dyDescent="0.3">
      <c r="M113" s="6" t="str">
        <f t="shared" si="15"/>
        <v/>
      </c>
      <c r="N113" s="6" t="str">
        <f t="shared" si="16"/>
        <v/>
      </c>
      <c r="O113" s="6" t="str">
        <f t="shared" si="17"/>
        <v/>
      </c>
      <c r="P113" s="6" t="str">
        <f t="shared" si="18"/>
        <v/>
      </c>
      <c r="Q113" s="6" t="str">
        <f t="shared" si="19"/>
        <v/>
      </c>
    </row>
    <row r="114" spans="13:17" x14ac:dyDescent="0.3">
      <c r="M114" s="6" t="str">
        <f t="shared" si="15"/>
        <v/>
      </c>
      <c r="N114" s="6" t="str">
        <f t="shared" si="16"/>
        <v/>
      </c>
      <c r="O114" s="6" t="str">
        <f t="shared" si="17"/>
        <v/>
      </c>
      <c r="P114" s="6" t="str">
        <f t="shared" si="18"/>
        <v/>
      </c>
      <c r="Q114" s="6" t="str">
        <f t="shared" si="19"/>
        <v/>
      </c>
    </row>
    <row r="115" spans="13:17" x14ac:dyDescent="0.3">
      <c r="M115" s="6" t="str">
        <f t="shared" si="15"/>
        <v/>
      </c>
      <c r="N115" s="6" t="str">
        <f t="shared" si="16"/>
        <v/>
      </c>
      <c r="O115" s="6" t="str">
        <f t="shared" si="17"/>
        <v/>
      </c>
      <c r="P115" s="6" t="str">
        <f t="shared" si="18"/>
        <v/>
      </c>
      <c r="Q115" s="6" t="str">
        <f t="shared" si="19"/>
        <v/>
      </c>
    </row>
    <row r="116" spans="13:17" x14ac:dyDescent="0.3">
      <c r="M116" s="6" t="str">
        <f t="shared" si="15"/>
        <v/>
      </c>
      <c r="N116" s="6" t="str">
        <f t="shared" si="16"/>
        <v/>
      </c>
      <c r="O116" s="6" t="str">
        <f t="shared" si="17"/>
        <v/>
      </c>
      <c r="P116" s="6" t="str">
        <f t="shared" si="18"/>
        <v/>
      </c>
      <c r="Q116" s="6" t="str">
        <f t="shared" si="19"/>
        <v/>
      </c>
    </row>
    <row r="117" spans="13:17" x14ac:dyDescent="0.3">
      <c r="M117" s="6" t="str">
        <f t="shared" si="15"/>
        <v/>
      </c>
      <c r="N117" s="6" t="str">
        <f t="shared" si="16"/>
        <v/>
      </c>
      <c r="O117" s="6" t="str">
        <f t="shared" si="17"/>
        <v/>
      </c>
      <c r="P117" s="6" t="str">
        <f t="shared" si="18"/>
        <v/>
      </c>
      <c r="Q117" s="6" t="str">
        <f t="shared" si="19"/>
        <v/>
      </c>
    </row>
    <row r="118" spans="13:17" x14ac:dyDescent="0.3">
      <c r="M118" s="6" t="str">
        <f t="shared" si="15"/>
        <v/>
      </c>
      <c r="N118" s="6" t="str">
        <f t="shared" si="16"/>
        <v/>
      </c>
      <c r="O118" s="6" t="str">
        <f t="shared" si="17"/>
        <v/>
      </c>
      <c r="P118" s="6" t="str">
        <f t="shared" si="18"/>
        <v/>
      </c>
      <c r="Q118" s="6" t="str">
        <f t="shared" si="19"/>
        <v/>
      </c>
    </row>
    <row r="119" spans="13:17" x14ac:dyDescent="0.3">
      <c r="M119" s="6" t="str">
        <f t="shared" si="15"/>
        <v/>
      </c>
      <c r="N119" s="6" t="str">
        <f t="shared" si="16"/>
        <v/>
      </c>
      <c r="O119" s="6" t="str">
        <f t="shared" si="17"/>
        <v/>
      </c>
      <c r="P119" s="6" t="str">
        <f t="shared" si="18"/>
        <v/>
      </c>
      <c r="Q119" s="6" t="str">
        <f t="shared" si="19"/>
        <v/>
      </c>
    </row>
    <row r="120" spans="13:17" x14ac:dyDescent="0.3">
      <c r="M120" s="6" t="str">
        <f t="shared" si="15"/>
        <v/>
      </c>
      <c r="N120" s="6" t="str">
        <f t="shared" si="16"/>
        <v/>
      </c>
      <c r="O120" s="6" t="str">
        <f t="shared" si="17"/>
        <v/>
      </c>
      <c r="P120" s="6" t="str">
        <f t="shared" si="18"/>
        <v/>
      </c>
      <c r="Q120" s="6" t="str">
        <f t="shared" si="19"/>
        <v/>
      </c>
    </row>
    <row r="121" spans="13:17" x14ac:dyDescent="0.3">
      <c r="M121" s="6" t="str">
        <f t="shared" si="15"/>
        <v/>
      </c>
      <c r="N121" s="6" t="str">
        <f t="shared" si="16"/>
        <v/>
      </c>
      <c r="O121" s="6" t="str">
        <f t="shared" si="17"/>
        <v/>
      </c>
      <c r="P121" s="6" t="str">
        <f t="shared" si="18"/>
        <v/>
      </c>
      <c r="Q121" s="6" t="str">
        <f t="shared" si="19"/>
        <v/>
      </c>
    </row>
    <row r="122" spans="13:17" x14ac:dyDescent="0.3">
      <c r="M122" s="6" t="str">
        <f t="shared" si="15"/>
        <v/>
      </c>
      <c r="N122" s="6" t="str">
        <f t="shared" si="16"/>
        <v/>
      </c>
      <c r="O122" s="6" t="str">
        <f t="shared" si="17"/>
        <v/>
      </c>
      <c r="P122" s="6" t="str">
        <f t="shared" si="18"/>
        <v/>
      </c>
      <c r="Q122" s="6" t="str">
        <f t="shared" si="19"/>
        <v/>
      </c>
    </row>
    <row r="123" spans="13:17" x14ac:dyDescent="0.3">
      <c r="M123" s="6" t="str">
        <f t="shared" si="15"/>
        <v/>
      </c>
      <c r="N123" s="6" t="str">
        <f t="shared" si="16"/>
        <v/>
      </c>
      <c r="O123" s="6" t="str">
        <f t="shared" si="17"/>
        <v/>
      </c>
      <c r="P123" s="6" t="str">
        <f t="shared" si="18"/>
        <v/>
      </c>
      <c r="Q123" s="6" t="str">
        <f t="shared" si="19"/>
        <v/>
      </c>
    </row>
    <row r="124" spans="13:17" x14ac:dyDescent="0.3">
      <c r="M124" s="6" t="str">
        <f t="shared" si="15"/>
        <v/>
      </c>
      <c r="N124" s="6" t="str">
        <f t="shared" si="16"/>
        <v/>
      </c>
      <c r="O124" s="6" t="str">
        <f t="shared" si="17"/>
        <v/>
      </c>
      <c r="P124" s="6" t="str">
        <f t="shared" si="18"/>
        <v/>
      </c>
      <c r="Q124" s="6" t="str">
        <f t="shared" si="19"/>
        <v/>
      </c>
    </row>
    <row r="125" spans="13:17" x14ac:dyDescent="0.3">
      <c r="M125" s="6" t="str">
        <f t="shared" si="15"/>
        <v/>
      </c>
      <c r="N125" s="6" t="str">
        <f t="shared" si="16"/>
        <v/>
      </c>
      <c r="O125" s="6" t="str">
        <f t="shared" si="17"/>
        <v/>
      </c>
      <c r="P125" s="6" t="str">
        <f t="shared" si="18"/>
        <v/>
      </c>
      <c r="Q125" s="6" t="str">
        <f t="shared" si="19"/>
        <v/>
      </c>
    </row>
    <row r="126" spans="13:17" x14ac:dyDescent="0.3">
      <c r="M126" s="6" t="str">
        <f t="shared" si="15"/>
        <v/>
      </c>
      <c r="N126" s="6" t="str">
        <f t="shared" si="16"/>
        <v/>
      </c>
      <c r="O126" s="6" t="str">
        <f t="shared" si="17"/>
        <v/>
      </c>
      <c r="P126" s="6" t="str">
        <f t="shared" si="18"/>
        <v/>
      </c>
      <c r="Q126" s="6" t="str">
        <f t="shared" si="19"/>
        <v/>
      </c>
    </row>
    <row r="127" spans="13:17" x14ac:dyDescent="0.3">
      <c r="M127" s="6" t="str">
        <f t="shared" si="15"/>
        <v/>
      </c>
      <c r="N127" s="6" t="str">
        <f t="shared" si="16"/>
        <v/>
      </c>
      <c r="O127" s="6" t="str">
        <f t="shared" si="17"/>
        <v/>
      </c>
      <c r="P127" s="6" t="str">
        <f t="shared" si="18"/>
        <v/>
      </c>
      <c r="Q127" s="6" t="str">
        <f t="shared" si="19"/>
        <v/>
      </c>
    </row>
    <row r="128" spans="13:17" x14ac:dyDescent="0.3">
      <c r="M128" s="6" t="str">
        <f t="shared" si="15"/>
        <v/>
      </c>
      <c r="N128" s="6" t="str">
        <f t="shared" si="16"/>
        <v/>
      </c>
      <c r="O128" s="6" t="str">
        <f t="shared" si="17"/>
        <v/>
      </c>
      <c r="P128" s="6" t="str">
        <f t="shared" si="18"/>
        <v/>
      </c>
      <c r="Q128" s="6" t="str">
        <f t="shared" si="19"/>
        <v/>
      </c>
    </row>
    <row r="129" spans="13:17" x14ac:dyDescent="0.3">
      <c r="M129" s="6" t="str">
        <f t="shared" si="15"/>
        <v/>
      </c>
      <c r="N129" s="6" t="str">
        <f t="shared" si="16"/>
        <v/>
      </c>
      <c r="O129" s="6" t="str">
        <f t="shared" si="17"/>
        <v/>
      </c>
      <c r="P129" s="6" t="str">
        <f t="shared" si="18"/>
        <v/>
      </c>
      <c r="Q129" s="6" t="str">
        <f t="shared" si="19"/>
        <v/>
      </c>
    </row>
    <row r="130" spans="13:17" x14ac:dyDescent="0.3">
      <c r="M130" s="6" t="str">
        <f t="shared" si="15"/>
        <v/>
      </c>
      <c r="N130" s="6" t="str">
        <f t="shared" si="16"/>
        <v/>
      </c>
      <c r="O130" s="6" t="str">
        <f t="shared" si="17"/>
        <v/>
      </c>
      <c r="P130" s="6" t="str">
        <f t="shared" si="18"/>
        <v/>
      </c>
      <c r="Q130" s="6" t="str">
        <f t="shared" si="19"/>
        <v/>
      </c>
    </row>
    <row r="131" spans="13:17" x14ac:dyDescent="0.3">
      <c r="M131" s="6" t="str">
        <f t="shared" si="15"/>
        <v/>
      </c>
      <c r="N131" s="6" t="str">
        <f t="shared" si="16"/>
        <v/>
      </c>
      <c r="O131" s="6" t="str">
        <f t="shared" si="17"/>
        <v/>
      </c>
      <c r="P131" s="6" t="str">
        <f t="shared" si="18"/>
        <v/>
      </c>
      <c r="Q131" s="6" t="str">
        <f t="shared" si="19"/>
        <v/>
      </c>
    </row>
    <row r="132" spans="13:17" x14ac:dyDescent="0.3">
      <c r="M132" s="6" t="str">
        <f t="shared" si="15"/>
        <v/>
      </c>
      <c r="N132" s="6" t="str">
        <f t="shared" si="16"/>
        <v/>
      </c>
      <c r="O132" s="6" t="str">
        <f t="shared" si="17"/>
        <v/>
      </c>
      <c r="P132" s="6" t="str">
        <f t="shared" si="18"/>
        <v/>
      </c>
      <c r="Q132" s="6" t="str">
        <f t="shared" si="19"/>
        <v/>
      </c>
    </row>
    <row r="133" spans="13:17" x14ac:dyDescent="0.3">
      <c r="M133" s="6" t="str">
        <f t="shared" si="15"/>
        <v/>
      </c>
      <c r="N133" s="6" t="str">
        <f t="shared" si="16"/>
        <v/>
      </c>
      <c r="O133" s="6" t="str">
        <f t="shared" si="17"/>
        <v/>
      </c>
      <c r="P133" s="6" t="str">
        <f t="shared" si="18"/>
        <v/>
      </c>
      <c r="Q133" s="6" t="str">
        <f t="shared" si="19"/>
        <v/>
      </c>
    </row>
    <row r="134" spans="13:17" x14ac:dyDescent="0.3">
      <c r="M134" s="6" t="str">
        <f t="shared" si="15"/>
        <v/>
      </c>
      <c r="N134" s="6" t="str">
        <f t="shared" si="16"/>
        <v/>
      </c>
      <c r="O134" s="6" t="str">
        <f t="shared" si="17"/>
        <v/>
      </c>
      <c r="P134" s="6" t="str">
        <f t="shared" si="18"/>
        <v/>
      </c>
      <c r="Q134" s="6" t="str">
        <f t="shared" si="19"/>
        <v/>
      </c>
    </row>
    <row r="135" spans="13:17" x14ac:dyDescent="0.3">
      <c r="M135" s="6" t="str">
        <f t="shared" si="15"/>
        <v/>
      </c>
      <c r="N135" s="6" t="str">
        <f t="shared" si="16"/>
        <v/>
      </c>
      <c r="O135" s="6" t="str">
        <f t="shared" si="17"/>
        <v/>
      </c>
      <c r="P135" s="6" t="str">
        <f t="shared" si="18"/>
        <v/>
      </c>
      <c r="Q135" s="6" t="str">
        <f t="shared" si="19"/>
        <v/>
      </c>
    </row>
    <row r="136" spans="13:17" x14ac:dyDescent="0.3">
      <c r="M136" s="6" t="str">
        <f t="shared" si="15"/>
        <v/>
      </c>
      <c r="N136" s="6" t="str">
        <f t="shared" si="16"/>
        <v/>
      </c>
      <c r="O136" s="6" t="str">
        <f t="shared" si="17"/>
        <v/>
      </c>
      <c r="P136" s="6" t="str">
        <f t="shared" si="18"/>
        <v/>
      </c>
      <c r="Q136" s="6" t="str">
        <f t="shared" si="19"/>
        <v/>
      </c>
    </row>
    <row r="137" spans="13:17" x14ac:dyDescent="0.3">
      <c r="M137" s="6" t="str">
        <f t="shared" si="15"/>
        <v/>
      </c>
      <c r="N137" s="6" t="str">
        <f t="shared" si="16"/>
        <v/>
      </c>
      <c r="O137" s="6" t="str">
        <f t="shared" si="17"/>
        <v/>
      </c>
      <c r="P137" s="6" t="str">
        <f t="shared" si="18"/>
        <v/>
      </c>
      <c r="Q137" s="6" t="str">
        <f t="shared" si="19"/>
        <v/>
      </c>
    </row>
    <row r="138" spans="13:17" x14ac:dyDescent="0.3">
      <c r="M138" s="6" t="str">
        <f t="shared" si="15"/>
        <v/>
      </c>
      <c r="N138" s="6" t="str">
        <f t="shared" si="16"/>
        <v/>
      </c>
      <c r="O138" s="6" t="str">
        <f t="shared" si="17"/>
        <v/>
      </c>
      <c r="P138" s="6" t="str">
        <f t="shared" si="18"/>
        <v/>
      </c>
      <c r="Q138" s="6" t="str">
        <f t="shared" si="19"/>
        <v/>
      </c>
    </row>
    <row r="139" spans="13:17" x14ac:dyDescent="0.3">
      <c r="M139" s="6" t="str">
        <f t="shared" si="15"/>
        <v/>
      </c>
      <c r="N139" s="6" t="str">
        <f t="shared" si="16"/>
        <v/>
      </c>
      <c r="O139" s="6" t="str">
        <f t="shared" si="17"/>
        <v/>
      </c>
      <c r="P139" s="6" t="str">
        <f t="shared" si="18"/>
        <v/>
      </c>
      <c r="Q139" s="6" t="str">
        <f t="shared" si="19"/>
        <v/>
      </c>
    </row>
    <row r="140" spans="13:17" x14ac:dyDescent="0.3">
      <c r="M140" s="6" t="str">
        <f t="shared" ref="M140:M203" si="20">IF(OR(I140="",F140=""),"",IF(OR(I140&lt;=0,F140&lt;=0),"",0.95*((I140^3)/F140)^0.385))</f>
        <v/>
      </c>
      <c r="N140" s="6" t="str">
        <f t="shared" ref="N140:N203" si="21">IF(OR(B140="",I140="",G140="",D140=""),"",IF(OR(B140&lt;=0,I140&lt;=0,G140&lt;=D140),"",(4*SQRT(B140)+1.5*I140)/(0.8*SQRT(G140-D140))))</f>
        <v/>
      </c>
      <c r="O140" s="6" t="str">
        <f t="shared" ref="O140:O203" si="22">IF(OR(I140="",C140="",H140=""),"",IF(OR(I140&lt;=0,H140&lt;=0,C140&lt;=0,C140&gt;100),"",((100*((I140*1000/0.3048)^0.8)*(((1000/C140)-9)^0.7))/(1900*SQRT(H140*100)))/60))</f>
        <v/>
      </c>
      <c r="P140" s="6" t="str">
        <f t="shared" ref="P140:P203" si="23">IF(OR(I140="",H140=""),"",IF(OR(I140&lt;=0,H140&lt;=0),"",(18*(I140^0.76)/(H140^0.19))/60))</f>
        <v/>
      </c>
      <c r="Q140" s="6" t="str">
        <f t="shared" ref="Q140:Q203" si="24">IF(OR(I140="",K140=""),"",IF(OR(I140&lt;=0,K140&lt;=0),"",I140/(3.6*K140)))</f>
        <v/>
      </c>
    </row>
    <row r="141" spans="13:17" x14ac:dyDescent="0.3">
      <c r="M141" s="6" t="str">
        <f t="shared" si="20"/>
        <v/>
      </c>
      <c r="N141" s="6" t="str">
        <f t="shared" si="21"/>
        <v/>
      </c>
      <c r="O141" s="6" t="str">
        <f t="shared" si="22"/>
        <v/>
      </c>
      <c r="P141" s="6" t="str">
        <f t="shared" si="23"/>
        <v/>
      </c>
      <c r="Q141" s="6" t="str">
        <f t="shared" si="24"/>
        <v/>
      </c>
    </row>
    <row r="142" spans="13:17" x14ac:dyDescent="0.3">
      <c r="M142" s="6" t="str">
        <f t="shared" si="20"/>
        <v/>
      </c>
      <c r="N142" s="6" t="str">
        <f t="shared" si="21"/>
        <v/>
      </c>
      <c r="O142" s="6" t="str">
        <f t="shared" si="22"/>
        <v/>
      </c>
      <c r="P142" s="6" t="str">
        <f t="shared" si="23"/>
        <v/>
      </c>
      <c r="Q142" s="6" t="str">
        <f t="shared" si="24"/>
        <v/>
      </c>
    </row>
    <row r="143" spans="13:17" x14ac:dyDescent="0.3">
      <c r="M143" s="6" t="str">
        <f t="shared" si="20"/>
        <v/>
      </c>
      <c r="N143" s="6" t="str">
        <f t="shared" si="21"/>
        <v/>
      </c>
      <c r="O143" s="6" t="str">
        <f t="shared" si="22"/>
        <v/>
      </c>
      <c r="P143" s="6" t="str">
        <f t="shared" si="23"/>
        <v/>
      </c>
      <c r="Q143" s="6" t="str">
        <f t="shared" si="24"/>
        <v/>
      </c>
    </row>
    <row r="144" spans="13:17" x14ac:dyDescent="0.3">
      <c r="M144" s="6" t="str">
        <f t="shared" si="20"/>
        <v/>
      </c>
      <c r="N144" s="6" t="str">
        <f t="shared" si="21"/>
        <v/>
      </c>
      <c r="O144" s="6" t="str">
        <f t="shared" si="22"/>
        <v/>
      </c>
      <c r="P144" s="6" t="str">
        <f t="shared" si="23"/>
        <v/>
      </c>
      <c r="Q144" s="6" t="str">
        <f t="shared" si="24"/>
        <v/>
      </c>
    </row>
    <row r="145" spans="13:17" x14ac:dyDescent="0.3">
      <c r="M145" s="6" t="str">
        <f t="shared" si="20"/>
        <v/>
      </c>
      <c r="N145" s="6" t="str">
        <f t="shared" si="21"/>
        <v/>
      </c>
      <c r="O145" s="6" t="str">
        <f t="shared" si="22"/>
        <v/>
      </c>
      <c r="P145" s="6" t="str">
        <f t="shared" si="23"/>
        <v/>
      </c>
      <c r="Q145" s="6" t="str">
        <f t="shared" si="24"/>
        <v/>
      </c>
    </row>
    <row r="146" spans="13:17" x14ac:dyDescent="0.3">
      <c r="M146" s="6" t="str">
        <f t="shared" si="20"/>
        <v/>
      </c>
      <c r="N146" s="6" t="str">
        <f t="shared" si="21"/>
        <v/>
      </c>
      <c r="O146" s="6" t="str">
        <f t="shared" si="22"/>
        <v/>
      </c>
      <c r="P146" s="6" t="str">
        <f t="shared" si="23"/>
        <v/>
      </c>
      <c r="Q146" s="6" t="str">
        <f t="shared" si="24"/>
        <v/>
      </c>
    </row>
    <row r="147" spans="13:17" x14ac:dyDescent="0.3">
      <c r="M147" s="6" t="str">
        <f t="shared" si="20"/>
        <v/>
      </c>
      <c r="N147" s="6" t="str">
        <f t="shared" si="21"/>
        <v/>
      </c>
      <c r="O147" s="6" t="str">
        <f t="shared" si="22"/>
        <v/>
      </c>
      <c r="P147" s="6" t="str">
        <f t="shared" si="23"/>
        <v/>
      </c>
      <c r="Q147" s="6" t="str">
        <f t="shared" si="24"/>
        <v/>
      </c>
    </row>
    <row r="148" spans="13:17" x14ac:dyDescent="0.3">
      <c r="M148" s="6" t="str">
        <f t="shared" si="20"/>
        <v/>
      </c>
      <c r="N148" s="6" t="str">
        <f t="shared" si="21"/>
        <v/>
      </c>
      <c r="O148" s="6" t="str">
        <f t="shared" si="22"/>
        <v/>
      </c>
      <c r="P148" s="6" t="str">
        <f t="shared" si="23"/>
        <v/>
      </c>
      <c r="Q148" s="6" t="str">
        <f t="shared" si="24"/>
        <v/>
      </c>
    </row>
    <row r="149" spans="13:17" x14ac:dyDescent="0.3">
      <c r="M149" s="6" t="str">
        <f t="shared" si="20"/>
        <v/>
      </c>
      <c r="N149" s="6" t="str">
        <f t="shared" si="21"/>
        <v/>
      </c>
      <c r="O149" s="6" t="str">
        <f t="shared" si="22"/>
        <v/>
      </c>
      <c r="P149" s="6" t="str">
        <f t="shared" si="23"/>
        <v/>
      </c>
      <c r="Q149" s="6" t="str">
        <f t="shared" si="24"/>
        <v/>
      </c>
    </row>
    <row r="150" spans="13:17" x14ac:dyDescent="0.3">
      <c r="M150" s="6" t="str">
        <f t="shared" si="20"/>
        <v/>
      </c>
      <c r="N150" s="6" t="str">
        <f t="shared" si="21"/>
        <v/>
      </c>
      <c r="O150" s="6" t="str">
        <f t="shared" si="22"/>
        <v/>
      </c>
      <c r="P150" s="6" t="str">
        <f t="shared" si="23"/>
        <v/>
      </c>
      <c r="Q150" s="6" t="str">
        <f t="shared" si="24"/>
        <v/>
      </c>
    </row>
    <row r="151" spans="13:17" x14ac:dyDescent="0.3">
      <c r="M151" s="6" t="str">
        <f t="shared" si="20"/>
        <v/>
      </c>
      <c r="N151" s="6" t="str">
        <f t="shared" si="21"/>
        <v/>
      </c>
      <c r="O151" s="6" t="str">
        <f t="shared" si="22"/>
        <v/>
      </c>
      <c r="P151" s="6" t="str">
        <f t="shared" si="23"/>
        <v/>
      </c>
      <c r="Q151" s="6" t="str">
        <f t="shared" si="24"/>
        <v/>
      </c>
    </row>
    <row r="152" spans="13:17" x14ac:dyDescent="0.3">
      <c r="M152" s="6" t="str">
        <f t="shared" si="20"/>
        <v/>
      </c>
      <c r="N152" s="6" t="str">
        <f t="shared" si="21"/>
        <v/>
      </c>
      <c r="O152" s="6" t="str">
        <f t="shared" si="22"/>
        <v/>
      </c>
      <c r="P152" s="6" t="str">
        <f t="shared" si="23"/>
        <v/>
      </c>
      <c r="Q152" s="6" t="str">
        <f t="shared" si="24"/>
        <v/>
      </c>
    </row>
    <row r="153" spans="13:17" x14ac:dyDescent="0.3">
      <c r="M153" s="6" t="str">
        <f t="shared" si="20"/>
        <v/>
      </c>
      <c r="N153" s="6" t="str">
        <f t="shared" si="21"/>
        <v/>
      </c>
      <c r="O153" s="6" t="str">
        <f t="shared" si="22"/>
        <v/>
      </c>
      <c r="P153" s="6" t="str">
        <f t="shared" si="23"/>
        <v/>
      </c>
      <c r="Q153" s="6" t="str">
        <f t="shared" si="24"/>
        <v/>
      </c>
    </row>
    <row r="154" spans="13:17" x14ac:dyDescent="0.3">
      <c r="M154" s="6" t="str">
        <f t="shared" si="20"/>
        <v/>
      </c>
      <c r="N154" s="6" t="str">
        <f t="shared" si="21"/>
        <v/>
      </c>
      <c r="O154" s="6" t="str">
        <f t="shared" si="22"/>
        <v/>
      </c>
      <c r="P154" s="6" t="str">
        <f t="shared" si="23"/>
        <v/>
      </c>
      <c r="Q154" s="6" t="str">
        <f t="shared" si="24"/>
        <v/>
      </c>
    </row>
    <row r="155" spans="13:17" x14ac:dyDescent="0.3">
      <c r="M155" s="6" t="str">
        <f t="shared" si="20"/>
        <v/>
      </c>
      <c r="N155" s="6" t="str">
        <f t="shared" si="21"/>
        <v/>
      </c>
      <c r="O155" s="6" t="str">
        <f t="shared" si="22"/>
        <v/>
      </c>
      <c r="P155" s="6" t="str">
        <f t="shared" si="23"/>
        <v/>
      </c>
      <c r="Q155" s="6" t="str">
        <f t="shared" si="24"/>
        <v/>
      </c>
    </row>
    <row r="156" spans="13:17" x14ac:dyDescent="0.3">
      <c r="M156" s="6" t="str">
        <f t="shared" si="20"/>
        <v/>
      </c>
      <c r="N156" s="6" t="str">
        <f t="shared" si="21"/>
        <v/>
      </c>
      <c r="O156" s="6" t="str">
        <f t="shared" si="22"/>
        <v/>
      </c>
      <c r="P156" s="6" t="str">
        <f t="shared" si="23"/>
        <v/>
      </c>
      <c r="Q156" s="6" t="str">
        <f t="shared" si="24"/>
        <v/>
      </c>
    </row>
    <row r="157" spans="13:17" x14ac:dyDescent="0.3">
      <c r="M157" s="6" t="str">
        <f t="shared" si="20"/>
        <v/>
      </c>
      <c r="N157" s="6" t="str">
        <f t="shared" si="21"/>
        <v/>
      </c>
      <c r="O157" s="6" t="str">
        <f t="shared" si="22"/>
        <v/>
      </c>
      <c r="P157" s="6" t="str">
        <f t="shared" si="23"/>
        <v/>
      </c>
      <c r="Q157" s="6" t="str">
        <f t="shared" si="24"/>
        <v/>
      </c>
    </row>
    <row r="158" spans="13:17" x14ac:dyDescent="0.3">
      <c r="M158" s="6" t="str">
        <f t="shared" si="20"/>
        <v/>
      </c>
      <c r="N158" s="6" t="str">
        <f t="shared" si="21"/>
        <v/>
      </c>
      <c r="O158" s="6" t="str">
        <f t="shared" si="22"/>
        <v/>
      </c>
      <c r="P158" s="6" t="str">
        <f t="shared" si="23"/>
        <v/>
      </c>
      <c r="Q158" s="6" t="str">
        <f t="shared" si="24"/>
        <v/>
      </c>
    </row>
    <row r="159" spans="13:17" x14ac:dyDescent="0.3">
      <c r="M159" s="6" t="str">
        <f t="shared" si="20"/>
        <v/>
      </c>
      <c r="N159" s="6" t="str">
        <f t="shared" si="21"/>
        <v/>
      </c>
      <c r="O159" s="6" t="str">
        <f t="shared" si="22"/>
        <v/>
      </c>
      <c r="P159" s="6" t="str">
        <f t="shared" si="23"/>
        <v/>
      </c>
      <c r="Q159" s="6" t="str">
        <f t="shared" si="24"/>
        <v/>
      </c>
    </row>
    <row r="160" spans="13:17" x14ac:dyDescent="0.3">
      <c r="M160" s="6" t="str">
        <f t="shared" si="20"/>
        <v/>
      </c>
      <c r="N160" s="6" t="str">
        <f t="shared" si="21"/>
        <v/>
      </c>
      <c r="O160" s="6" t="str">
        <f t="shared" si="22"/>
        <v/>
      </c>
      <c r="P160" s="6" t="str">
        <f t="shared" si="23"/>
        <v/>
      </c>
      <c r="Q160" s="6" t="str">
        <f t="shared" si="24"/>
        <v/>
      </c>
    </row>
    <row r="161" spans="13:17" x14ac:dyDescent="0.3">
      <c r="M161" s="6" t="str">
        <f t="shared" si="20"/>
        <v/>
      </c>
      <c r="N161" s="6" t="str">
        <f t="shared" si="21"/>
        <v/>
      </c>
      <c r="O161" s="6" t="str">
        <f t="shared" si="22"/>
        <v/>
      </c>
      <c r="P161" s="6" t="str">
        <f t="shared" si="23"/>
        <v/>
      </c>
      <c r="Q161" s="6" t="str">
        <f t="shared" si="24"/>
        <v/>
      </c>
    </row>
    <row r="162" spans="13:17" x14ac:dyDescent="0.3">
      <c r="M162" s="6" t="str">
        <f t="shared" si="20"/>
        <v/>
      </c>
      <c r="N162" s="6" t="str">
        <f t="shared" si="21"/>
        <v/>
      </c>
      <c r="O162" s="6" t="str">
        <f t="shared" si="22"/>
        <v/>
      </c>
      <c r="P162" s="6" t="str">
        <f t="shared" si="23"/>
        <v/>
      </c>
      <c r="Q162" s="6" t="str">
        <f t="shared" si="24"/>
        <v/>
      </c>
    </row>
    <row r="163" spans="13:17" x14ac:dyDescent="0.3">
      <c r="M163" s="6" t="str">
        <f t="shared" si="20"/>
        <v/>
      </c>
      <c r="N163" s="6" t="str">
        <f t="shared" si="21"/>
        <v/>
      </c>
      <c r="O163" s="6" t="str">
        <f t="shared" si="22"/>
        <v/>
      </c>
      <c r="P163" s="6" t="str">
        <f t="shared" si="23"/>
        <v/>
      </c>
      <c r="Q163" s="6" t="str">
        <f t="shared" si="24"/>
        <v/>
      </c>
    </row>
    <row r="164" spans="13:17" x14ac:dyDescent="0.3">
      <c r="M164" s="6" t="str">
        <f t="shared" si="20"/>
        <v/>
      </c>
      <c r="N164" s="6" t="str">
        <f t="shared" si="21"/>
        <v/>
      </c>
      <c r="O164" s="6" t="str">
        <f t="shared" si="22"/>
        <v/>
      </c>
      <c r="P164" s="6" t="str">
        <f t="shared" si="23"/>
        <v/>
      </c>
      <c r="Q164" s="6" t="str">
        <f t="shared" si="24"/>
        <v/>
      </c>
    </row>
    <row r="165" spans="13:17" x14ac:dyDescent="0.3">
      <c r="M165" s="6" t="str">
        <f t="shared" si="20"/>
        <v/>
      </c>
      <c r="N165" s="6" t="str">
        <f t="shared" si="21"/>
        <v/>
      </c>
      <c r="O165" s="6" t="str">
        <f t="shared" si="22"/>
        <v/>
      </c>
      <c r="P165" s="6" t="str">
        <f t="shared" si="23"/>
        <v/>
      </c>
      <c r="Q165" s="6" t="str">
        <f t="shared" si="24"/>
        <v/>
      </c>
    </row>
    <row r="166" spans="13:17" x14ac:dyDescent="0.3">
      <c r="M166" s="6" t="str">
        <f t="shared" si="20"/>
        <v/>
      </c>
      <c r="N166" s="6" t="str">
        <f t="shared" si="21"/>
        <v/>
      </c>
      <c r="O166" s="6" t="str">
        <f t="shared" si="22"/>
        <v/>
      </c>
      <c r="P166" s="6" t="str">
        <f t="shared" si="23"/>
        <v/>
      </c>
      <c r="Q166" s="6" t="str">
        <f t="shared" si="24"/>
        <v/>
      </c>
    </row>
    <row r="167" spans="13:17" x14ac:dyDescent="0.3">
      <c r="M167" s="6" t="str">
        <f t="shared" si="20"/>
        <v/>
      </c>
      <c r="N167" s="6" t="str">
        <f t="shared" si="21"/>
        <v/>
      </c>
      <c r="O167" s="6" t="str">
        <f t="shared" si="22"/>
        <v/>
      </c>
      <c r="P167" s="6" t="str">
        <f t="shared" si="23"/>
        <v/>
      </c>
      <c r="Q167" s="6" t="str">
        <f t="shared" si="24"/>
        <v/>
      </c>
    </row>
    <row r="168" spans="13:17" x14ac:dyDescent="0.3">
      <c r="M168" s="6" t="str">
        <f t="shared" si="20"/>
        <v/>
      </c>
      <c r="N168" s="6" t="str">
        <f t="shared" si="21"/>
        <v/>
      </c>
      <c r="O168" s="6" t="str">
        <f t="shared" si="22"/>
        <v/>
      </c>
      <c r="P168" s="6" t="str">
        <f t="shared" si="23"/>
        <v/>
      </c>
      <c r="Q168" s="6" t="str">
        <f t="shared" si="24"/>
        <v/>
      </c>
    </row>
    <row r="169" spans="13:17" x14ac:dyDescent="0.3">
      <c r="M169" s="6" t="str">
        <f t="shared" si="20"/>
        <v/>
      </c>
      <c r="N169" s="6" t="str">
        <f t="shared" si="21"/>
        <v/>
      </c>
      <c r="O169" s="6" t="str">
        <f t="shared" si="22"/>
        <v/>
      </c>
      <c r="P169" s="6" t="str">
        <f t="shared" si="23"/>
        <v/>
      </c>
      <c r="Q169" s="6" t="str">
        <f t="shared" si="24"/>
        <v/>
      </c>
    </row>
    <row r="170" spans="13:17" x14ac:dyDescent="0.3">
      <c r="M170" s="6" t="str">
        <f t="shared" si="20"/>
        <v/>
      </c>
      <c r="N170" s="6" t="str">
        <f t="shared" si="21"/>
        <v/>
      </c>
      <c r="O170" s="6" t="str">
        <f t="shared" si="22"/>
        <v/>
      </c>
      <c r="P170" s="6" t="str">
        <f t="shared" si="23"/>
        <v/>
      </c>
      <c r="Q170" s="6" t="str">
        <f t="shared" si="24"/>
        <v/>
      </c>
    </row>
    <row r="171" spans="13:17" x14ac:dyDescent="0.3">
      <c r="M171" s="6" t="str">
        <f t="shared" si="20"/>
        <v/>
      </c>
      <c r="N171" s="6" t="str">
        <f t="shared" si="21"/>
        <v/>
      </c>
      <c r="O171" s="6" t="str">
        <f t="shared" si="22"/>
        <v/>
      </c>
      <c r="P171" s="6" t="str">
        <f t="shared" si="23"/>
        <v/>
      </c>
      <c r="Q171" s="6" t="str">
        <f t="shared" si="24"/>
        <v/>
      </c>
    </row>
    <row r="172" spans="13:17" x14ac:dyDescent="0.3">
      <c r="M172" s="6" t="str">
        <f t="shared" si="20"/>
        <v/>
      </c>
      <c r="N172" s="6" t="str">
        <f t="shared" si="21"/>
        <v/>
      </c>
      <c r="O172" s="6" t="str">
        <f t="shared" si="22"/>
        <v/>
      </c>
      <c r="P172" s="6" t="str">
        <f t="shared" si="23"/>
        <v/>
      </c>
      <c r="Q172" s="6" t="str">
        <f t="shared" si="24"/>
        <v/>
      </c>
    </row>
    <row r="173" spans="13:17" x14ac:dyDescent="0.3">
      <c r="M173" s="6" t="str">
        <f t="shared" si="20"/>
        <v/>
      </c>
      <c r="N173" s="6" t="str">
        <f t="shared" si="21"/>
        <v/>
      </c>
      <c r="O173" s="6" t="str">
        <f t="shared" si="22"/>
        <v/>
      </c>
      <c r="P173" s="6" t="str">
        <f t="shared" si="23"/>
        <v/>
      </c>
      <c r="Q173" s="6" t="str">
        <f t="shared" si="24"/>
        <v/>
      </c>
    </row>
    <row r="174" spans="13:17" x14ac:dyDescent="0.3">
      <c r="M174" s="6" t="str">
        <f t="shared" si="20"/>
        <v/>
      </c>
      <c r="N174" s="6" t="str">
        <f t="shared" si="21"/>
        <v/>
      </c>
      <c r="O174" s="6" t="str">
        <f t="shared" si="22"/>
        <v/>
      </c>
      <c r="P174" s="6" t="str">
        <f t="shared" si="23"/>
        <v/>
      </c>
      <c r="Q174" s="6" t="str">
        <f t="shared" si="24"/>
        <v/>
      </c>
    </row>
    <row r="175" spans="13:17" x14ac:dyDescent="0.3">
      <c r="M175" s="6" t="str">
        <f t="shared" si="20"/>
        <v/>
      </c>
      <c r="N175" s="6" t="str">
        <f t="shared" si="21"/>
        <v/>
      </c>
      <c r="O175" s="6" t="str">
        <f t="shared" si="22"/>
        <v/>
      </c>
      <c r="P175" s="6" t="str">
        <f t="shared" si="23"/>
        <v/>
      </c>
      <c r="Q175" s="6" t="str">
        <f t="shared" si="24"/>
        <v/>
      </c>
    </row>
    <row r="176" spans="13:17" x14ac:dyDescent="0.3">
      <c r="M176" s="6" t="str">
        <f t="shared" si="20"/>
        <v/>
      </c>
      <c r="N176" s="6" t="str">
        <f t="shared" si="21"/>
        <v/>
      </c>
      <c r="O176" s="6" t="str">
        <f t="shared" si="22"/>
        <v/>
      </c>
      <c r="P176" s="6" t="str">
        <f t="shared" si="23"/>
        <v/>
      </c>
      <c r="Q176" s="6" t="str">
        <f t="shared" si="24"/>
        <v/>
      </c>
    </row>
    <row r="177" spans="13:17" x14ac:dyDescent="0.3">
      <c r="M177" s="6" t="str">
        <f t="shared" si="20"/>
        <v/>
      </c>
      <c r="N177" s="6" t="str">
        <f t="shared" si="21"/>
        <v/>
      </c>
      <c r="O177" s="6" t="str">
        <f t="shared" si="22"/>
        <v/>
      </c>
      <c r="P177" s="6" t="str">
        <f t="shared" si="23"/>
        <v/>
      </c>
      <c r="Q177" s="6" t="str">
        <f t="shared" si="24"/>
        <v/>
      </c>
    </row>
    <row r="178" spans="13:17" x14ac:dyDescent="0.3">
      <c r="M178" s="6" t="str">
        <f t="shared" si="20"/>
        <v/>
      </c>
      <c r="N178" s="6" t="str">
        <f t="shared" si="21"/>
        <v/>
      </c>
      <c r="O178" s="6" t="str">
        <f t="shared" si="22"/>
        <v/>
      </c>
      <c r="P178" s="6" t="str">
        <f t="shared" si="23"/>
        <v/>
      </c>
      <c r="Q178" s="6" t="str">
        <f t="shared" si="24"/>
        <v/>
      </c>
    </row>
    <row r="179" spans="13:17" x14ac:dyDescent="0.3">
      <c r="M179" s="6" t="str">
        <f t="shared" si="20"/>
        <v/>
      </c>
      <c r="N179" s="6" t="str">
        <f t="shared" si="21"/>
        <v/>
      </c>
      <c r="O179" s="6" t="str">
        <f t="shared" si="22"/>
        <v/>
      </c>
      <c r="P179" s="6" t="str">
        <f t="shared" si="23"/>
        <v/>
      </c>
      <c r="Q179" s="6" t="str">
        <f t="shared" si="24"/>
        <v/>
      </c>
    </row>
    <row r="180" spans="13:17" x14ac:dyDescent="0.3">
      <c r="M180" s="6" t="str">
        <f t="shared" si="20"/>
        <v/>
      </c>
      <c r="N180" s="6" t="str">
        <f t="shared" si="21"/>
        <v/>
      </c>
      <c r="O180" s="6" t="str">
        <f t="shared" si="22"/>
        <v/>
      </c>
      <c r="P180" s="6" t="str">
        <f t="shared" si="23"/>
        <v/>
      </c>
      <c r="Q180" s="6" t="str">
        <f t="shared" si="24"/>
        <v/>
      </c>
    </row>
    <row r="181" spans="13:17" x14ac:dyDescent="0.3">
      <c r="M181" s="6" t="str">
        <f t="shared" si="20"/>
        <v/>
      </c>
      <c r="N181" s="6" t="str">
        <f t="shared" si="21"/>
        <v/>
      </c>
      <c r="O181" s="6" t="str">
        <f t="shared" si="22"/>
        <v/>
      </c>
      <c r="P181" s="6" t="str">
        <f t="shared" si="23"/>
        <v/>
      </c>
      <c r="Q181" s="6" t="str">
        <f t="shared" si="24"/>
        <v/>
      </c>
    </row>
    <row r="182" spans="13:17" x14ac:dyDescent="0.3">
      <c r="M182" s="6" t="str">
        <f t="shared" si="20"/>
        <v/>
      </c>
      <c r="N182" s="6" t="str">
        <f t="shared" si="21"/>
        <v/>
      </c>
      <c r="O182" s="6" t="str">
        <f t="shared" si="22"/>
        <v/>
      </c>
      <c r="P182" s="6" t="str">
        <f t="shared" si="23"/>
        <v/>
      </c>
      <c r="Q182" s="6" t="str">
        <f t="shared" si="24"/>
        <v/>
      </c>
    </row>
    <row r="183" spans="13:17" x14ac:dyDescent="0.3">
      <c r="M183" s="6" t="str">
        <f t="shared" si="20"/>
        <v/>
      </c>
      <c r="N183" s="6" t="str">
        <f t="shared" si="21"/>
        <v/>
      </c>
      <c r="O183" s="6" t="str">
        <f t="shared" si="22"/>
        <v/>
      </c>
      <c r="P183" s="6" t="str">
        <f t="shared" si="23"/>
        <v/>
      </c>
      <c r="Q183" s="6" t="str">
        <f t="shared" si="24"/>
        <v/>
      </c>
    </row>
    <row r="184" spans="13:17" x14ac:dyDescent="0.3">
      <c r="M184" s="6" t="str">
        <f t="shared" si="20"/>
        <v/>
      </c>
      <c r="N184" s="6" t="str">
        <f t="shared" si="21"/>
        <v/>
      </c>
      <c r="O184" s="6" t="str">
        <f t="shared" si="22"/>
        <v/>
      </c>
      <c r="P184" s="6" t="str">
        <f t="shared" si="23"/>
        <v/>
      </c>
      <c r="Q184" s="6" t="str">
        <f t="shared" si="24"/>
        <v/>
      </c>
    </row>
    <row r="185" spans="13:17" x14ac:dyDescent="0.3">
      <c r="M185" s="6" t="str">
        <f t="shared" si="20"/>
        <v/>
      </c>
      <c r="N185" s="6" t="str">
        <f t="shared" si="21"/>
        <v/>
      </c>
      <c r="O185" s="6" t="str">
        <f t="shared" si="22"/>
        <v/>
      </c>
      <c r="P185" s="6" t="str">
        <f t="shared" si="23"/>
        <v/>
      </c>
      <c r="Q185" s="6" t="str">
        <f t="shared" si="24"/>
        <v/>
      </c>
    </row>
    <row r="186" spans="13:17" x14ac:dyDescent="0.3">
      <c r="M186" s="6" t="str">
        <f t="shared" si="20"/>
        <v/>
      </c>
      <c r="N186" s="6" t="str">
        <f t="shared" si="21"/>
        <v/>
      </c>
      <c r="O186" s="6" t="str">
        <f t="shared" si="22"/>
        <v/>
      </c>
      <c r="P186" s="6" t="str">
        <f t="shared" si="23"/>
        <v/>
      </c>
      <c r="Q186" s="6" t="str">
        <f t="shared" si="24"/>
        <v/>
      </c>
    </row>
    <row r="187" spans="13:17" x14ac:dyDescent="0.3">
      <c r="M187" s="6" t="str">
        <f t="shared" si="20"/>
        <v/>
      </c>
      <c r="N187" s="6" t="str">
        <f t="shared" si="21"/>
        <v/>
      </c>
      <c r="O187" s="6" t="str">
        <f t="shared" si="22"/>
        <v/>
      </c>
      <c r="P187" s="6" t="str">
        <f t="shared" si="23"/>
        <v/>
      </c>
      <c r="Q187" s="6" t="str">
        <f t="shared" si="24"/>
        <v/>
      </c>
    </row>
    <row r="188" spans="13:17" x14ac:dyDescent="0.3">
      <c r="M188" s="6" t="str">
        <f t="shared" si="20"/>
        <v/>
      </c>
      <c r="N188" s="6" t="str">
        <f t="shared" si="21"/>
        <v/>
      </c>
      <c r="O188" s="6" t="str">
        <f t="shared" si="22"/>
        <v/>
      </c>
      <c r="P188" s="6" t="str">
        <f t="shared" si="23"/>
        <v/>
      </c>
      <c r="Q188" s="6" t="str">
        <f t="shared" si="24"/>
        <v/>
      </c>
    </row>
    <row r="189" spans="13:17" x14ac:dyDescent="0.3">
      <c r="M189" s="6" t="str">
        <f t="shared" si="20"/>
        <v/>
      </c>
      <c r="N189" s="6" t="str">
        <f t="shared" si="21"/>
        <v/>
      </c>
      <c r="O189" s="6" t="str">
        <f t="shared" si="22"/>
        <v/>
      </c>
      <c r="P189" s="6" t="str">
        <f t="shared" si="23"/>
        <v/>
      </c>
      <c r="Q189" s="6" t="str">
        <f t="shared" si="24"/>
        <v/>
      </c>
    </row>
    <row r="190" spans="13:17" x14ac:dyDescent="0.3">
      <c r="M190" s="6" t="str">
        <f t="shared" si="20"/>
        <v/>
      </c>
      <c r="N190" s="6" t="str">
        <f t="shared" si="21"/>
        <v/>
      </c>
      <c r="O190" s="6" t="str">
        <f t="shared" si="22"/>
        <v/>
      </c>
      <c r="P190" s="6" t="str">
        <f t="shared" si="23"/>
        <v/>
      </c>
      <c r="Q190" s="6" t="str">
        <f t="shared" si="24"/>
        <v/>
      </c>
    </row>
    <row r="191" spans="13:17" x14ac:dyDescent="0.3">
      <c r="M191" s="6" t="str">
        <f t="shared" si="20"/>
        <v/>
      </c>
      <c r="N191" s="6" t="str">
        <f t="shared" si="21"/>
        <v/>
      </c>
      <c r="O191" s="6" t="str">
        <f t="shared" si="22"/>
        <v/>
      </c>
      <c r="P191" s="6" t="str">
        <f t="shared" si="23"/>
        <v/>
      </c>
      <c r="Q191" s="6" t="str">
        <f t="shared" si="24"/>
        <v/>
      </c>
    </row>
    <row r="192" spans="13:17" x14ac:dyDescent="0.3">
      <c r="M192" s="6" t="str">
        <f t="shared" si="20"/>
        <v/>
      </c>
      <c r="N192" s="6" t="str">
        <f t="shared" si="21"/>
        <v/>
      </c>
      <c r="O192" s="6" t="str">
        <f t="shared" si="22"/>
        <v/>
      </c>
      <c r="P192" s="6" t="str">
        <f t="shared" si="23"/>
        <v/>
      </c>
      <c r="Q192" s="6" t="str">
        <f t="shared" si="24"/>
        <v/>
      </c>
    </row>
    <row r="193" spans="13:17" x14ac:dyDescent="0.3">
      <c r="M193" s="6" t="str">
        <f t="shared" si="20"/>
        <v/>
      </c>
      <c r="N193" s="6" t="str">
        <f t="shared" si="21"/>
        <v/>
      </c>
      <c r="O193" s="6" t="str">
        <f t="shared" si="22"/>
        <v/>
      </c>
      <c r="P193" s="6" t="str">
        <f t="shared" si="23"/>
        <v/>
      </c>
      <c r="Q193" s="6" t="str">
        <f t="shared" si="24"/>
        <v/>
      </c>
    </row>
    <row r="194" spans="13:17" x14ac:dyDescent="0.3">
      <c r="M194" s="6" t="str">
        <f t="shared" si="20"/>
        <v/>
      </c>
      <c r="N194" s="6" t="str">
        <f t="shared" si="21"/>
        <v/>
      </c>
      <c r="O194" s="6" t="str">
        <f t="shared" si="22"/>
        <v/>
      </c>
      <c r="P194" s="6" t="str">
        <f t="shared" si="23"/>
        <v/>
      </c>
      <c r="Q194" s="6" t="str">
        <f t="shared" si="24"/>
        <v/>
      </c>
    </row>
    <row r="195" spans="13:17" x14ac:dyDescent="0.3">
      <c r="M195" s="6" t="str">
        <f t="shared" si="20"/>
        <v/>
      </c>
      <c r="N195" s="6" t="str">
        <f t="shared" si="21"/>
        <v/>
      </c>
      <c r="O195" s="6" t="str">
        <f t="shared" si="22"/>
        <v/>
      </c>
      <c r="P195" s="6" t="str">
        <f t="shared" si="23"/>
        <v/>
      </c>
      <c r="Q195" s="6" t="str">
        <f t="shared" si="24"/>
        <v/>
      </c>
    </row>
    <row r="196" spans="13:17" x14ac:dyDescent="0.3">
      <c r="M196" s="6" t="str">
        <f t="shared" si="20"/>
        <v/>
      </c>
      <c r="N196" s="6" t="str">
        <f t="shared" si="21"/>
        <v/>
      </c>
      <c r="O196" s="6" t="str">
        <f t="shared" si="22"/>
        <v/>
      </c>
      <c r="P196" s="6" t="str">
        <f t="shared" si="23"/>
        <v/>
      </c>
      <c r="Q196" s="6" t="str">
        <f t="shared" si="24"/>
        <v/>
      </c>
    </row>
    <row r="197" spans="13:17" x14ac:dyDescent="0.3">
      <c r="M197" s="6" t="str">
        <f t="shared" si="20"/>
        <v/>
      </c>
      <c r="N197" s="6" t="str">
        <f t="shared" si="21"/>
        <v/>
      </c>
      <c r="O197" s="6" t="str">
        <f t="shared" si="22"/>
        <v/>
      </c>
      <c r="P197" s="6" t="str">
        <f t="shared" si="23"/>
        <v/>
      </c>
      <c r="Q197" s="6" t="str">
        <f t="shared" si="24"/>
        <v/>
      </c>
    </row>
    <row r="198" spans="13:17" x14ac:dyDescent="0.3">
      <c r="M198" s="6" t="str">
        <f t="shared" si="20"/>
        <v/>
      </c>
      <c r="N198" s="6" t="str">
        <f t="shared" si="21"/>
        <v/>
      </c>
      <c r="O198" s="6" t="str">
        <f t="shared" si="22"/>
        <v/>
      </c>
      <c r="P198" s="6" t="str">
        <f t="shared" si="23"/>
        <v/>
      </c>
      <c r="Q198" s="6" t="str">
        <f t="shared" si="24"/>
        <v/>
      </c>
    </row>
    <row r="199" spans="13:17" x14ac:dyDescent="0.3">
      <c r="M199" s="6" t="str">
        <f t="shared" si="20"/>
        <v/>
      </c>
      <c r="N199" s="6" t="str">
        <f t="shared" si="21"/>
        <v/>
      </c>
      <c r="O199" s="6" t="str">
        <f t="shared" si="22"/>
        <v/>
      </c>
      <c r="P199" s="6" t="str">
        <f t="shared" si="23"/>
        <v/>
      </c>
      <c r="Q199" s="6" t="str">
        <f t="shared" si="24"/>
        <v/>
      </c>
    </row>
    <row r="200" spans="13:17" x14ac:dyDescent="0.3">
      <c r="M200" s="6" t="str">
        <f t="shared" si="20"/>
        <v/>
      </c>
      <c r="N200" s="6" t="str">
        <f t="shared" si="21"/>
        <v/>
      </c>
      <c r="O200" s="6" t="str">
        <f t="shared" si="22"/>
        <v/>
      </c>
      <c r="P200" s="6" t="str">
        <f t="shared" si="23"/>
        <v/>
      </c>
      <c r="Q200" s="6" t="str">
        <f t="shared" si="24"/>
        <v/>
      </c>
    </row>
    <row r="201" spans="13:17" x14ac:dyDescent="0.3">
      <c r="M201" s="6" t="str">
        <f t="shared" si="20"/>
        <v/>
      </c>
      <c r="N201" s="6" t="str">
        <f t="shared" si="21"/>
        <v/>
      </c>
      <c r="O201" s="6" t="str">
        <f t="shared" si="22"/>
        <v/>
      </c>
      <c r="P201" s="6" t="str">
        <f t="shared" si="23"/>
        <v/>
      </c>
      <c r="Q201" s="6" t="str">
        <f t="shared" si="24"/>
        <v/>
      </c>
    </row>
    <row r="202" spans="13:17" x14ac:dyDescent="0.3">
      <c r="M202" s="6" t="str">
        <f t="shared" si="20"/>
        <v/>
      </c>
      <c r="N202" s="6" t="str">
        <f t="shared" si="21"/>
        <v/>
      </c>
      <c r="O202" s="6" t="str">
        <f t="shared" si="22"/>
        <v/>
      </c>
      <c r="P202" s="6" t="str">
        <f t="shared" si="23"/>
        <v/>
      </c>
      <c r="Q202" s="6" t="str">
        <f t="shared" si="24"/>
        <v/>
      </c>
    </row>
    <row r="203" spans="13:17" x14ac:dyDescent="0.3">
      <c r="M203" s="6" t="str">
        <f t="shared" si="20"/>
        <v/>
      </c>
      <c r="N203" s="6" t="str">
        <f t="shared" si="21"/>
        <v/>
      </c>
      <c r="O203" s="6" t="str">
        <f t="shared" si="22"/>
        <v/>
      </c>
      <c r="P203" s="6" t="str">
        <f t="shared" si="23"/>
        <v/>
      </c>
      <c r="Q203" s="6" t="str">
        <f t="shared" si="24"/>
        <v/>
      </c>
    </row>
    <row r="204" spans="13:17" x14ac:dyDescent="0.3">
      <c r="M204" s="6" t="str">
        <f t="shared" ref="M204:M267" si="25">IF(OR(I204="",F204=""),"",IF(OR(I204&lt;=0,F204&lt;=0),"",0.95*((I204^3)/F204)^0.385))</f>
        <v/>
      </c>
      <c r="N204" s="6" t="str">
        <f t="shared" ref="N204:N267" si="26">IF(OR(B204="",I204="",G204="",D204=""),"",IF(OR(B204&lt;=0,I204&lt;=0,G204&lt;=D204),"",(4*SQRT(B204)+1.5*I204)/(0.8*SQRT(G204-D204))))</f>
        <v/>
      </c>
      <c r="O204" s="6" t="str">
        <f t="shared" ref="O204:O267" si="27">IF(OR(I204="",C204="",H204=""),"",IF(OR(I204&lt;=0,H204&lt;=0,C204&lt;=0,C204&gt;100),"",((100*((I204*1000/0.3048)^0.8)*(((1000/C204)-9)^0.7))/(1900*SQRT(H204*100)))/60))</f>
        <v/>
      </c>
      <c r="P204" s="6" t="str">
        <f t="shared" ref="P204:P267" si="28">IF(OR(I204="",H204=""),"",IF(OR(I204&lt;=0,H204&lt;=0),"",(18*(I204^0.76)/(H204^0.19))/60))</f>
        <v/>
      </c>
      <c r="Q204" s="6" t="str">
        <f t="shared" ref="Q204:Q267" si="29">IF(OR(I204="",K204=""),"",IF(OR(I204&lt;=0,K204&lt;=0),"",I204/(3.6*K204)))</f>
        <v/>
      </c>
    </row>
    <row r="205" spans="13:17" x14ac:dyDescent="0.3">
      <c r="M205" s="6" t="str">
        <f t="shared" si="25"/>
        <v/>
      </c>
      <c r="N205" s="6" t="str">
        <f t="shared" si="26"/>
        <v/>
      </c>
      <c r="O205" s="6" t="str">
        <f t="shared" si="27"/>
        <v/>
      </c>
      <c r="P205" s="6" t="str">
        <f t="shared" si="28"/>
        <v/>
      </c>
      <c r="Q205" s="6" t="str">
        <f t="shared" si="29"/>
        <v/>
      </c>
    </row>
    <row r="206" spans="13:17" x14ac:dyDescent="0.3">
      <c r="M206" s="6" t="str">
        <f t="shared" si="25"/>
        <v/>
      </c>
      <c r="N206" s="6" t="str">
        <f t="shared" si="26"/>
        <v/>
      </c>
      <c r="O206" s="6" t="str">
        <f t="shared" si="27"/>
        <v/>
      </c>
      <c r="P206" s="6" t="str">
        <f t="shared" si="28"/>
        <v/>
      </c>
      <c r="Q206" s="6" t="str">
        <f t="shared" si="29"/>
        <v/>
      </c>
    </row>
    <row r="207" spans="13:17" x14ac:dyDescent="0.3">
      <c r="M207" s="6" t="str">
        <f t="shared" si="25"/>
        <v/>
      </c>
      <c r="N207" s="6" t="str">
        <f t="shared" si="26"/>
        <v/>
      </c>
      <c r="O207" s="6" t="str">
        <f t="shared" si="27"/>
        <v/>
      </c>
      <c r="P207" s="6" t="str">
        <f t="shared" si="28"/>
        <v/>
      </c>
      <c r="Q207" s="6" t="str">
        <f t="shared" si="29"/>
        <v/>
      </c>
    </row>
    <row r="208" spans="13:17" x14ac:dyDescent="0.3">
      <c r="M208" s="6" t="str">
        <f t="shared" si="25"/>
        <v/>
      </c>
      <c r="N208" s="6" t="str">
        <f t="shared" si="26"/>
        <v/>
      </c>
      <c r="O208" s="6" t="str">
        <f t="shared" si="27"/>
        <v/>
      </c>
      <c r="P208" s="6" t="str">
        <f t="shared" si="28"/>
        <v/>
      </c>
      <c r="Q208" s="6" t="str">
        <f t="shared" si="29"/>
        <v/>
      </c>
    </row>
    <row r="209" spans="13:17" x14ac:dyDescent="0.3">
      <c r="M209" s="6" t="str">
        <f t="shared" si="25"/>
        <v/>
      </c>
      <c r="N209" s="6" t="str">
        <f t="shared" si="26"/>
        <v/>
      </c>
      <c r="O209" s="6" t="str">
        <f t="shared" si="27"/>
        <v/>
      </c>
      <c r="P209" s="6" t="str">
        <f t="shared" si="28"/>
        <v/>
      </c>
      <c r="Q209" s="6" t="str">
        <f t="shared" si="29"/>
        <v/>
      </c>
    </row>
    <row r="210" spans="13:17" x14ac:dyDescent="0.3">
      <c r="M210" s="6" t="str">
        <f t="shared" si="25"/>
        <v/>
      </c>
      <c r="N210" s="6" t="str">
        <f t="shared" si="26"/>
        <v/>
      </c>
      <c r="O210" s="6" t="str">
        <f t="shared" si="27"/>
        <v/>
      </c>
      <c r="P210" s="6" t="str">
        <f t="shared" si="28"/>
        <v/>
      </c>
      <c r="Q210" s="6" t="str">
        <f t="shared" si="29"/>
        <v/>
      </c>
    </row>
    <row r="211" spans="13:17" x14ac:dyDescent="0.3">
      <c r="M211" s="6" t="str">
        <f t="shared" si="25"/>
        <v/>
      </c>
      <c r="N211" s="6" t="str">
        <f t="shared" si="26"/>
        <v/>
      </c>
      <c r="O211" s="6" t="str">
        <f t="shared" si="27"/>
        <v/>
      </c>
      <c r="P211" s="6" t="str">
        <f t="shared" si="28"/>
        <v/>
      </c>
      <c r="Q211" s="6" t="str">
        <f t="shared" si="29"/>
        <v/>
      </c>
    </row>
    <row r="212" spans="13:17" x14ac:dyDescent="0.3">
      <c r="M212" s="6" t="str">
        <f t="shared" si="25"/>
        <v/>
      </c>
      <c r="N212" s="6" t="str">
        <f t="shared" si="26"/>
        <v/>
      </c>
      <c r="O212" s="6" t="str">
        <f t="shared" si="27"/>
        <v/>
      </c>
      <c r="P212" s="6" t="str">
        <f t="shared" si="28"/>
        <v/>
      </c>
      <c r="Q212" s="6" t="str">
        <f t="shared" si="29"/>
        <v/>
      </c>
    </row>
    <row r="213" spans="13:17" x14ac:dyDescent="0.3">
      <c r="M213" s="6" t="str">
        <f t="shared" si="25"/>
        <v/>
      </c>
      <c r="N213" s="6" t="str">
        <f t="shared" si="26"/>
        <v/>
      </c>
      <c r="O213" s="6" t="str">
        <f t="shared" si="27"/>
        <v/>
      </c>
      <c r="P213" s="6" t="str">
        <f t="shared" si="28"/>
        <v/>
      </c>
      <c r="Q213" s="6" t="str">
        <f t="shared" si="29"/>
        <v/>
      </c>
    </row>
    <row r="214" spans="13:17" x14ac:dyDescent="0.3">
      <c r="M214" s="6" t="str">
        <f t="shared" si="25"/>
        <v/>
      </c>
      <c r="N214" s="6" t="str">
        <f t="shared" si="26"/>
        <v/>
      </c>
      <c r="O214" s="6" t="str">
        <f t="shared" si="27"/>
        <v/>
      </c>
      <c r="P214" s="6" t="str">
        <f t="shared" si="28"/>
        <v/>
      </c>
      <c r="Q214" s="6" t="str">
        <f t="shared" si="29"/>
        <v/>
      </c>
    </row>
    <row r="215" spans="13:17" x14ac:dyDescent="0.3">
      <c r="M215" s="6" t="str">
        <f t="shared" si="25"/>
        <v/>
      </c>
      <c r="N215" s="6" t="str">
        <f t="shared" si="26"/>
        <v/>
      </c>
      <c r="O215" s="6" t="str">
        <f t="shared" si="27"/>
        <v/>
      </c>
      <c r="P215" s="6" t="str">
        <f t="shared" si="28"/>
        <v/>
      </c>
      <c r="Q215" s="6" t="str">
        <f t="shared" si="29"/>
        <v/>
      </c>
    </row>
    <row r="216" spans="13:17" x14ac:dyDescent="0.3">
      <c r="M216" s="6" t="str">
        <f t="shared" si="25"/>
        <v/>
      </c>
      <c r="N216" s="6" t="str">
        <f t="shared" si="26"/>
        <v/>
      </c>
      <c r="O216" s="6" t="str">
        <f t="shared" si="27"/>
        <v/>
      </c>
      <c r="P216" s="6" t="str">
        <f t="shared" si="28"/>
        <v/>
      </c>
      <c r="Q216" s="6" t="str">
        <f t="shared" si="29"/>
        <v/>
      </c>
    </row>
    <row r="217" spans="13:17" x14ac:dyDescent="0.3">
      <c r="M217" s="6" t="str">
        <f t="shared" si="25"/>
        <v/>
      </c>
      <c r="N217" s="6" t="str">
        <f t="shared" si="26"/>
        <v/>
      </c>
      <c r="O217" s="6" t="str">
        <f t="shared" si="27"/>
        <v/>
      </c>
      <c r="P217" s="6" t="str">
        <f t="shared" si="28"/>
        <v/>
      </c>
      <c r="Q217" s="6" t="str">
        <f t="shared" si="29"/>
        <v/>
      </c>
    </row>
    <row r="218" spans="13:17" x14ac:dyDescent="0.3">
      <c r="M218" s="6" t="str">
        <f t="shared" si="25"/>
        <v/>
      </c>
      <c r="N218" s="6" t="str">
        <f t="shared" si="26"/>
        <v/>
      </c>
      <c r="O218" s="6" t="str">
        <f t="shared" si="27"/>
        <v/>
      </c>
      <c r="P218" s="6" t="str">
        <f t="shared" si="28"/>
        <v/>
      </c>
      <c r="Q218" s="6" t="str">
        <f t="shared" si="29"/>
        <v/>
      </c>
    </row>
    <row r="219" spans="13:17" x14ac:dyDescent="0.3">
      <c r="M219" s="6" t="str">
        <f t="shared" si="25"/>
        <v/>
      </c>
      <c r="N219" s="6" t="str">
        <f t="shared" si="26"/>
        <v/>
      </c>
      <c r="O219" s="6" t="str">
        <f t="shared" si="27"/>
        <v/>
      </c>
      <c r="P219" s="6" t="str">
        <f t="shared" si="28"/>
        <v/>
      </c>
      <c r="Q219" s="6" t="str">
        <f t="shared" si="29"/>
        <v/>
      </c>
    </row>
    <row r="220" spans="13:17" x14ac:dyDescent="0.3">
      <c r="M220" s="6" t="str">
        <f t="shared" si="25"/>
        <v/>
      </c>
      <c r="N220" s="6" t="str">
        <f t="shared" si="26"/>
        <v/>
      </c>
      <c r="O220" s="6" t="str">
        <f t="shared" si="27"/>
        <v/>
      </c>
      <c r="P220" s="6" t="str">
        <f t="shared" si="28"/>
        <v/>
      </c>
      <c r="Q220" s="6" t="str">
        <f t="shared" si="29"/>
        <v/>
      </c>
    </row>
    <row r="221" spans="13:17" x14ac:dyDescent="0.3">
      <c r="M221" s="6" t="str">
        <f t="shared" si="25"/>
        <v/>
      </c>
      <c r="N221" s="6" t="str">
        <f t="shared" si="26"/>
        <v/>
      </c>
      <c r="O221" s="6" t="str">
        <f t="shared" si="27"/>
        <v/>
      </c>
      <c r="P221" s="6" t="str">
        <f t="shared" si="28"/>
        <v/>
      </c>
      <c r="Q221" s="6" t="str">
        <f t="shared" si="29"/>
        <v/>
      </c>
    </row>
    <row r="222" spans="13:17" x14ac:dyDescent="0.3">
      <c r="M222" s="6" t="str">
        <f t="shared" si="25"/>
        <v/>
      </c>
      <c r="N222" s="6" t="str">
        <f t="shared" si="26"/>
        <v/>
      </c>
      <c r="O222" s="6" t="str">
        <f t="shared" si="27"/>
        <v/>
      </c>
      <c r="P222" s="6" t="str">
        <f t="shared" si="28"/>
        <v/>
      </c>
      <c r="Q222" s="6" t="str">
        <f t="shared" si="29"/>
        <v/>
      </c>
    </row>
    <row r="223" spans="13:17" x14ac:dyDescent="0.3">
      <c r="M223" s="6" t="str">
        <f t="shared" si="25"/>
        <v/>
      </c>
      <c r="N223" s="6" t="str">
        <f t="shared" si="26"/>
        <v/>
      </c>
      <c r="O223" s="6" t="str">
        <f t="shared" si="27"/>
        <v/>
      </c>
      <c r="P223" s="6" t="str">
        <f t="shared" si="28"/>
        <v/>
      </c>
      <c r="Q223" s="6" t="str">
        <f t="shared" si="29"/>
        <v/>
      </c>
    </row>
    <row r="224" spans="13:17" x14ac:dyDescent="0.3">
      <c r="M224" s="6" t="str">
        <f t="shared" si="25"/>
        <v/>
      </c>
      <c r="N224" s="6" t="str">
        <f t="shared" si="26"/>
        <v/>
      </c>
      <c r="O224" s="6" t="str">
        <f t="shared" si="27"/>
        <v/>
      </c>
      <c r="P224" s="6" t="str">
        <f t="shared" si="28"/>
        <v/>
      </c>
      <c r="Q224" s="6" t="str">
        <f t="shared" si="29"/>
        <v/>
      </c>
    </row>
    <row r="225" spans="13:17" x14ac:dyDescent="0.3">
      <c r="M225" s="6" t="str">
        <f t="shared" si="25"/>
        <v/>
      </c>
      <c r="N225" s="6" t="str">
        <f t="shared" si="26"/>
        <v/>
      </c>
      <c r="O225" s="6" t="str">
        <f t="shared" si="27"/>
        <v/>
      </c>
      <c r="P225" s="6" t="str">
        <f t="shared" si="28"/>
        <v/>
      </c>
      <c r="Q225" s="6" t="str">
        <f t="shared" si="29"/>
        <v/>
      </c>
    </row>
    <row r="226" spans="13:17" x14ac:dyDescent="0.3">
      <c r="M226" s="6" t="str">
        <f t="shared" si="25"/>
        <v/>
      </c>
      <c r="N226" s="6" t="str">
        <f t="shared" si="26"/>
        <v/>
      </c>
      <c r="O226" s="6" t="str">
        <f t="shared" si="27"/>
        <v/>
      </c>
      <c r="P226" s="6" t="str">
        <f t="shared" si="28"/>
        <v/>
      </c>
      <c r="Q226" s="6" t="str">
        <f t="shared" si="29"/>
        <v/>
      </c>
    </row>
    <row r="227" spans="13:17" x14ac:dyDescent="0.3">
      <c r="M227" s="6" t="str">
        <f t="shared" si="25"/>
        <v/>
      </c>
      <c r="N227" s="6" t="str">
        <f t="shared" si="26"/>
        <v/>
      </c>
      <c r="O227" s="6" t="str">
        <f t="shared" si="27"/>
        <v/>
      </c>
      <c r="P227" s="6" t="str">
        <f t="shared" si="28"/>
        <v/>
      </c>
      <c r="Q227" s="6" t="str">
        <f t="shared" si="29"/>
        <v/>
      </c>
    </row>
    <row r="228" spans="13:17" x14ac:dyDescent="0.3">
      <c r="M228" s="6" t="str">
        <f t="shared" si="25"/>
        <v/>
      </c>
      <c r="N228" s="6" t="str">
        <f t="shared" si="26"/>
        <v/>
      </c>
      <c r="O228" s="6" t="str">
        <f t="shared" si="27"/>
        <v/>
      </c>
      <c r="P228" s="6" t="str">
        <f t="shared" si="28"/>
        <v/>
      </c>
      <c r="Q228" s="6" t="str">
        <f t="shared" si="29"/>
        <v/>
      </c>
    </row>
    <row r="229" spans="13:17" x14ac:dyDescent="0.3">
      <c r="M229" s="6" t="str">
        <f t="shared" si="25"/>
        <v/>
      </c>
      <c r="N229" s="6" t="str">
        <f t="shared" si="26"/>
        <v/>
      </c>
      <c r="O229" s="6" t="str">
        <f t="shared" si="27"/>
        <v/>
      </c>
      <c r="P229" s="6" t="str">
        <f t="shared" si="28"/>
        <v/>
      </c>
      <c r="Q229" s="6" t="str">
        <f t="shared" si="29"/>
        <v/>
      </c>
    </row>
    <row r="230" spans="13:17" x14ac:dyDescent="0.3">
      <c r="M230" s="6" t="str">
        <f t="shared" si="25"/>
        <v/>
      </c>
      <c r="N230" s="6" t="str">
        <f t="shared" si="26"/>
        <v/>
      </c>
      <c r="O230" s="6" t="str">
        <f t="shared" si="27"/>
        <v/>
      </c>
      <c r="P230" s="6" t="str">
        <f t="shared" si="28"/>
        <v/>
      </c>
      <c r="Q230" s="6" t="str">
        <f t="shared" si="29"/>
        <v/>
      </c>
    </row>
    <row r="231" spans="13:17" x14ac:dyDescent="0.3">
      <c r="M231" s="6" t="str">
        <f t="shared" si="25"/>
        <v/>
      </c>
      <c r="N231" s="6" t="str">
        <f t="shared" si="26"/>
        <v/>
      </c>
      <c r="O231" s="6" t="str">
        <f t="shared" si="27"/>
        <v/>
      </c>
      <c r="P231" s="6" t="str">
        <f t="shared" si="28"/>
        <v/>
      </c>
      <c r="Q231" s="6" t="str">
        <f t="shared" si="29"/>
        <v/>
      </c>
    </row>
    <row r="232" spans="13:17" x14ac:dyDescent="0.3">
      <c r="M232" s="6" t="str">
        <f t="shared" si="25"/>
        <v/>
      </c>
      <c r="N232" s="6" t="str">
        <f t="shared" si="26"/>
        <v/>
      </c>
      <c r="O232" s="6" t="str">
        <f t="shared" si="27"/>
        <v/>
      </c>
      <c r="P232" s="6" t="str">
        <f t="shared" si="28"/>
        <v/>
      </c>
      <c r="Q232" s="6" t="str">
        <f t="shared" si="29"/>
        <v/>
      </c>
    </row>
    <row r="233" spans="13:17" x14ac:dyDescent="0.3">
      <c r="M233" s="6" t="str">
        <f t="shared" si="25"/>
        <v/>
      </c>
      <c r="N233" s="6" t="str">
        <f t="shared" si="26"/>
        <v/>
      </c>
      <c r="O233" s="6" t="str">
        <f t="shared" si="27"/>
        <v/>
      </c>
      <c r="P233" s="6" t="str">
        <f t="shared" si="28"/>
        <v/>
      </c>
      <c r="Q233" s="6" t="str">
        <f t="shared" si="29"/>
        <v/>
      </c>
    </row>
    <row r="234" spans="13:17" x14ac:dyDescent="0.3">
      <c r="M234" s="6" t="str">
        <f t="shared" si="25"/>
        <v/>
      </c>
      <c r="N234" s="6" t="str">
        <f t="shared" si="26"/>
        <v/>
      </c>
      <c r="O234" s="6" t="str">
        <f t="shared" si="27"/>
        <v/>
      </c>
      <c r="P234" s="6" t="str">
        <f t="shared" si="28"/>
        <v/>
      </c>
      <c r="Q234" s="6" t="str">
        <f t="shared" si="29"/>
        <v/>
      </c>
    </row>
    <row r="235" spans="13:17" x14ac:dyDescent="0.3">
      <c r="M235" s="6" t="str">
        <f t="shared" si="25"/>
        <v/>
      </c>
      <c r="N235" s="6" t="str">
        <f t="shared" si="26"/>
        <v/>
      </c>
      <c r="O235" s="6" t="str">
        <f t="shared" si="27"/>
        <v/>
      </c>
      <c r="P235" s="6" t="str">
        <f t="shared" si="28"/>
        <v/>
      </c>
      <c r="Q235" s="6" t="str">
        <f t="shared" si="29"/>
        <v/>
      </c>
    </row>
    <row r="236" spans="13:17" x14ac:dyDescent="0.3">
      <c r="M236" s="6" t="str">
        <f t="shared" si="25"/>
        <v/>
      </c>
      <c r="N236" s="6" t="str">
        <f t="shared" si="26"/>
        <v/>
      </c>
      <c r="O236" s="6" t="str">
        <f t="shared" si="27"/>
        <v/>
      </c>
      <c r="P236" s="6" t="str">
        <f t="shared" si="28"/>
        <v/>
      </c>
      <c r="Q236" s="6" t="str">
        <f t="shared" si="29"/>
        <v/>
      </c>
    </row>
    <row r="237" spans="13:17" x14ac:dyDescent="0.3">
      <c r="M237" s="6" t="str">
        <f t="shared" si="25"/>
        <v/>
      </c>
      <c r="N237" s="6" t="str">
        <f t="shared" si="26"/>
        <v/>
      </c>
      <c r="O237" s="6" t="str">
        <f t="shared" si="27"/>
        <v/>
      </c>
      <c r="P237" s="6" t="str">
        <f t="shared" si="28"/>
        <v/>
      </c>
      <c r="Q237" s="6" t="str">
        <f t="shared" si="29"/>
        <v/>
      </c>
    </row>
    <row r="238" spans="13:17" x14ac:dyDescent="0.3">
      <c r="M238" s="6" t="str">
        <f t="shared" si="25"/>
        <v/>
      </c>
      <c r="N238" s="6" t="str">
        <f t="shared" si="26"/>
        <v/>
      </c>
      <c r="O238" s="6" t="str">
        <f t="shared" si="27"/>
        <v/>
      </c>
      <c r="P238" s="6" t="str">
        <f t="shared" si="28"/>
        <v/>
      </c>
      <c r="Q238" s="6" t="str">
        <f t="shared" si="29"/>
        <v/>
      </c>
    </row>
    <row r="239" spans="13:17" x14ac:dyDescent="0.3">
      <c r="M239" s="6" t="str">
        <f t="shared" si="25"/>
        <v/>
      </c>
      <c r="N239" s="6" t="str">
        <f t="shared" si="26"/>
        <v/>
      </c>
      <c r="O239" s="6" t="str">
        <f t="shared" si="27"/>
        <v/>
      </c>
      <c r="P239" s="6" t="str">
        <f t="shared" si="28"/>
        <v/>
      </c>
      <c r="Q239" s="6" t="str">
        <f t="shared" si="29"/>
        <v/>
      </c>
    </row>
    <row r="240" spans="13:17" x14ac:dyDescent="0.3">
      <c r="M240" s="6" t="str">
        <f t="shared" si="25"/>
        <v/>
      </c>
      <c r="N240" s="6" t="str">
        <f t="shared" si="26"/>
        <v/>
      </c>
      <c r="O240" s="6" t="str">
        <f t="shared" si="27"/>
        <v/>
      </c>
      <c r="P240" s="6" t="str">
        <f t="shared" si="28"/>
        <v/>
      </c>
      <c r="Q240" s="6" t="str">
        <f t="shared" si="29"/>
        <v/>
      </c>
    </row>
    <row r="241" spans="13:17" x14ac:dyDescent="0.3">
      <c r="M241" s="6" t="str">
        <f t="shared" si="25"/>
        <v/>
      </c>
      <c r="N241" s="6" t="str">
        <f t="shared" si="26"/>
        <v/>
      </c>
      <c r="O241" s="6" t="str">
        <f t="shared" si="27"/>
        <v/>
      </c>
      <c r="P241" s="6" t="str">
        <f t="shared" si="28"/>
        <v/>
      </c>
      <c r="Q241" s="6" t="str">
        <f t="shared" si="29"/>
        <v/>
      </c>
    </row>
    <row r="242" spans="13:17" x14ac:dyDescent="0.3">
      <c r="M242" s="6" t="str">
        <f t="shared" si="25"/>
        <v/>
      </c>
      <c r="N242" s="6" t="str">
        <f t="shared" si="26"/>
        <v/>
      </c>
      <c r="O242" s="6" t="str">
        <f t="shared" si="27"/>
        <v/>
      </c>
      <c r="P242" s="6" t="str">
        <f t="shared" si="28"/>
        <v/>
      </c>
      <c r="Q242" s="6" t="str">
        <f t="shared" si="29"/>
        <v/>
      </c>
    </row>
    <row r="243" spans="13:17" x14ac:dyDescent="0.3">
      <c r="M243" s="6" t="str">
        <f t="shared" si="25"/>
        <v/>
      </c>
      <c r="N243" s="6" t="str">
        <f t="shared" si="26"/>
        <v/>
      </c>
      <c r="O243" s="6" t="str">
        <f t="shared" si="27"/>
        <v/>
      </c>
      <c r="P243" s="6" t="str">
        <f t="shared" si="28"/>
        <v/>
      </c>
      <c r="Q243" s="6" t="str">
        <f t="shared" si="29"/>
        <v/>
      </c>
    </row>
    <row r="244" spans="13:17" x14ac:dyDescent="0.3">
      <c r="M244" s="6" t="str">
        <f t="shared" si="25"/>
        <v/>
      </c>
      <c r="N244" s="6" t="str">
        <f t="shared" si="26"/>
        <v/>
      </c>
      <c r="O244" s="6" t="str">
        <f t="shared" si="27"/>
        <v/>
      </c>
      <c r="P244" s="6" t="str">
        <f t="shared" si="28"/>
        <v/>
      </c>
      <c r="Q244" s="6" t="str">
        <f t="shared" si="29"/>
        <v/>
      </c>
    </row>
    <row r="245" spans="13:17" x14ac:dyDescent="0.3">
      <c r="M245" s="6" t="str">
        <f t="shared" si="25"/>
        <v/>
      </c>
      <c r="N245" s="6" t="str">
        <f t="shared" si="26"/>
        <v/>
      </c>
      <c r="O245" s="6" t="str">
        <f t="shared" si="27"/>
        <v/>
      </c>
      <c r="P245" s="6" t="str">
        <f t="shared" si="28"/>
        <v/>
      </c>
      <c r="Q245" s="6" t="str">
        <f t="shared" si="29"/>
        <v/>
      </c>
    </row>
    <row r="246" spans="13:17" x14ac:dyDescent="0.3">
      <c r="M246" s="6" t="str">
        <f t="shared" si="25"/>
        <v/>
      </c>
      <c r="N246" s="6" t="str">
        <f t="shared" si="26"/>
        <v/>
      </c>
      <c r="O246" s="6" t="str">
        <f t="shared" si="27"/>
        <v/>
      </c>
      <c r="P246" s="6" t="str">
        <f t="shared" si="28"/>
        <v/>
      </c>
      <c r="Q246" s="6" t="str">
        <f t="shared" si="29"/>
        <v/>
      </c>
    </row>
    <row r="247" spans="13:17" x14ac:dyDescent="0.3">
      <c r="M247" s="6" t="str">
        <f t="shared" si="25"/>
        <v/>
      </c>
      <c r="N247" s="6" t="str">
        <f t="shared" si="26"/>
        <v/>
      </c>
      <c r="O247" s="6" t="str">
        <f t="shared" si="27"/>
        <v/>
      </c>
      <c r="P247" s="6" t="str">
        <f t="shared" si="28"/>
        <v/>
      </c>
      <c r="Q247" s="6" t="str">
        <f t="shared" si="29"/>
        <v/>
      </c>
    </row>
    <row r="248" spans="13:17" x14ac:dyDescent="0.3">
      <c r="M248" s="6" t="str">
        <f t="shared" si="25"/>
        <v/>
      </c>
      <c r="N248" s="6" t="str">
        <f t="shared" si="26"/>
        <v/>
      </c>
      <c r="O248" s="6" t="str">
        <f t="shared" si="27"/>
        <v/>
      </c>
      <c r="P248" s="6" t="str">
        <f t="shared" si="28"/>
        <v/>
      </c>
      <c r="Q248" s="6" t="str">
        <f t="shared" si="29"/>
        <v/>
      </c>
    </row>
    <row r="249" spans="13:17" x14ac:dyDescent="0.3">
      <c r="M249" s="6" t="str">
        <f t="shared" si="25"/>
        <v/>
      </c>
      <c r="N249" s="6" t="str">
        <f t="shared" si="26"/>
        <v/>
      </c>
      <c r="O249" s="6" t="str">
        <f t="shared" si="27"/>
        <v/>
      </c>
      <c r="P249" s="6" t="str">
        <f t="shared" si="28"/>
        <v/>
      </c>
      <c r="Q249" s="6" t="str">
        <f t="shared" si="29"/>
        <v/>
      </c>
    </row>
    <row r="250" spans="13:17" x14ac:dyDescent="0.3">
      <c r="M250" s="6" t="str">
        <f t="shared" si="25"/>
        <v/>
      </c>
      <c r="N250" s="6" t="str">
        <f t="shared" si="26"/>
        <v/>
      </c>
      <c r="O250" s="6" t="str">
        <f t="shared" si="27"/>
        <v/>
      </c>
      <c r="P250" s="6" t="str">
        <f t="shared" si="28"/>
        <v/>
      </c>
      <c r="Q250" s="6" t="str">
        <f t="shared" si="29"/>
        <v/>
      </c>
    </row>
    <row r="251" spans="13:17" x14ac:dyDescent="0.3">
      <c r="M251" s="6" t="str">
        <f t="shared" si="25"/>
        <v/>
      </c>
      <c r="N251" s="6" t="str">
        <f t="shared" si="26"/>
        <v/>
      </c>
      <c r="O251" s="6" t="str">
        <f t="shared" si="27"/>
        <v/>
      </c>
      <c r="P251" s="6" t="str">
        <f t="shared" si="28"/>
        <v/>
      </c>
      <c r="Q251" s="6" t="str">
        <f t="shared" si="29"/>
        <v/>
      </c>
    </row>
    <row r="252" spans="13:17" x14ac:dyDescent="0.3">
      <c r="M252" s="6" t="str">
        <f t="shared" si="25"/>
        <v/>
      </c>
      <c r="N252" s="6" t="str">
        <f t="shared" si="26"/>
        <v/>
      </c>
      <c r="O252" s="6" t="str">
        <f t="shared" si="27"/>
        <v/>
      </c>
      <c r="P252" s="6" t="str">
        <f t="shared" si="28"/>
        <v/>
      </c>
      <c r="Q252" s="6" t="str">
        <f t="shared" si="29"/>
        <v/>
      </c>
    </row>
    <row r="253" spans="13:17" x14ac:dyDescent="0.3">
      <c r="M253" s="6" t="str">
        <f t="shared" si="25"/>
        <v/>
      </c>
      <c r="N253" s="6" t="str">
        <f t="shared" si="26"/>
        <v/>
      </c>
      <c r="O253" s="6" t="str">
        <f t="shared" si="27"/>
        <v/>
      </c>
      <c r="P253" s="6" t="str">
        <f t="shared" si="28"/>
        <v/>
      </c>
      <c r="Q253" s="6" t="str">
        <f t="shared" si="29"/>
        <v/>
      </c>
    </row>
    <row r="254" spans="13:17" x14ac:dyDescent="0.3">
      <c r="M254" s="6" t="str">
        <f t="shared" si="25"/>
        <v/>
      </c>
      <c r="N254" s="6" t="str">
        <f t="shared" si="26"/>
        <v/>
      </c>
      <c r="O254" s="6" t="str">
        <f t="shared" si="27"/>
        <v/>
      </c>
      <c r="P254" s="6" t="str">
        <f t="shared" si="28"/>
        <v/>
      </c>
      <c r="Q254" s="6" t="str">
        <f t="shared" si="29"/>
        <v/>
      </c>
    </row>
    <row r="255" spans="13:17" x14ac:dyDescent="0.3">
      <c r="M255" s="6" t="str">
        <f t="shared" si="25"/>
        <v/>
      </c>
      <c r="N255" s="6" t="str">
        <f t="shared" si="26"/>
        <v/>
      </c>
      <c r="O255" s="6" t="str">
        <f t="shared" si="27"/>
        <v/>
      </c>
      <c r="P255" s="6" t="str">
        <f t="shared" si="28"/>
        <v/>
      </c>
      <c r="Q255" s="6" t="str">
        <f t="shared" si="29"/>
        <v/>
      </c>
    </row>
    <row r="256" spans="13:17" x14ac:dyDescent="0.3">
      <c r="M256" s="6" t="str">
        <f t="shared" si="25"/>
        <v/>
      </c>
      <c r="N256" s="6" t="str">
        <f t="shared" si="26"/>
        <v/>
      </c>
      <c r="O256" s="6" t="str">
        <f t="shared" si="27"/>
        <v/>
      </c>
      <c r="P256" s="6" t="str">
        <f t="shared" si="28"/>
        <v/>
      </c>
      <c r="Q256" s="6" t="str">
        <f t="shared" si="29"/>
        <v/>
      </c>
    </row>
    <row r="257" spans="13:17" x14ac:dyDescent="0.3">
      <c r="M257" s="6" t="str">
        <f t="shared" si="25"/>
        <v/>
      </c>
      <c r="N257" s="6" t="str">
        <f t="shared" si="26"/>
        <v/>
      </c>
      <c r="O257" s="6" t="str">
        <f t="shared" si="27"/>
        <v/>
      </c>
      <c r="P257" s="6" t="str">
        <f t="shared" si="28"/>
        <v/>
      </c>
      <c r="Q257" s="6" t="str">
        <f t="shared" si="29"/>
        <v/>
      </c>
    </row>
    <row r="258" spans="13:17" x14ac:dyDescent="0.3">
      <c r="M258" s="6" t="str">
        <f t="shared" si="25"/>
        <v/>
      </c>
      <c r="N258" s="6" t="str">
        <f t="shared" si="26"/>
        <v/>
      </c>
      <c r="O258" s="6" t="str">
        <f t="shared" si="27"/>
        <v/>
      </c>
      <c r="P258" s="6" t="str">
        <f t="shared" si="28"/>
        <v/>
      </c>
      <c r="Q258" s="6" t="str">
        <f t="shared" si="29"/>
        <v/>
      </c>
    </row>
    <row r="259" spans="13:17" x14ac:dyDescent="0.3">
      <c r="M259" s="6" t="str">
        <f t="shared" si="25"/>
        <v/>
      </c>
      <c r="N259" s="6" t="str">
        <f t="shared" si="26"/>
        <v/>
      </c>
      <c r="O259" s="6" t="str">
        <f t="shared" si="27"/>
        <v/>
      </c>
      <c r="P259" s="6" t="str">
        <f t="shared" si="28"/>
        <v/>
      </c>
      <c r="Q259" s="6" t="str">
        <f t="shared" si="29"/>
        <v/>
      </c>
    </row>
    <row r="260" spans="13:17" x14ac:dyDescent="0.3">
      <c r="M260" s="6" t="str">
        <f t="shared" si="25"/>
        <v/>
      </c>
      <c r="N260" s="6" t="str">
        <f t="shared" si="26"/>
        <v/>
      </c>
      <c r="O260" s="6" t="str">
        <f t="shared" si="27"/>
        <v/>
      </c>
      <c r="P260" s="6" t="str">
        <f t="shared" si="28"/>
        <v/>
      </c>
      <c r="Q260" s="6" t="str">
        <f t="shared" si="29"/>
        <v/>
      </c>
    </row>
    <row r="261" spans="13:17" x14ac:dyDescent="0.3">
      <c r="M261" s="6" t="str">
        <f t="shared" si="25"/>
        <v/>
      </c>
      <c r="N261" s="6" t="str">
        <f t="shared" si="26"/>
        <v/>
      </c>
      <c r="O261" s="6" t="str">
        <f t="shared" si="27"/>
        <v/>
      </c>
      <c r="P261" s="6" t="str">
        <f t="shared" si="28"/>
        <v/>
      </c>
      <c r="Q261" s="6" t="str">
        <f t="shared" si="29"/>
        <v/>
      </c>
    </row>
    <row r="262" spans="13:17" x14ac:dyDescent="0.3">
      <c r="M262" s="6" t="str">
        <f t="shared" si="25"/>
        <v/>
      </c>
      <c r="N262" s="6" t="str">
        <f t="shared" si="26"/>
        <v/>
      </c>
      <c r="O262" s="6" t="str">
        <f t="shared" si="27"/>
        <v/>
      </c>
      <c r="P262" s="6" t="str">
        <f t="shared" si="28"/>
        <v/>
      </c>
      <c r="Q262" s="6" t="str">
        <f t="shared" si="29"/>
        <v/>
      </c>
    </row>
    <row r="263" spans="13:17" x14ac:dyDescent="0.3">
      <c r="M263" s="6" t="str">
        <f t="shared" si="25"/>
        <v/>
      </c>
      <c r="N263" s="6" t="str">
        <f t="shared" si="26"/>
        <v/>
      </c>
      <c r="O263" s="6" t="str">
        <f t="shared" si="27"/>
        <v/>
      </c>
      <c r="P263" s="6" t="str">
        <f t="shared" si="28"/>
        <v/>
      </c>
      <c r="Q263" s="6" t="str">
        <f t="shared" si="29"/>
        <v/>
      </c>
    </row>
    <row r="264" spans="13:17" x14ac:dyDescent="0.3">
      <c r="M264" s="6" t="str">
        <f t="shared" si="25"/>
        <v/>
      </c>
      <c r="N264" s="6" t="str">
        <f t="shared" si="26"/>
        <v/>
      </c>
      <c r="O264" s="6" t="str">
        <f t="shared" si="27"/>
        <v/>
      </c>
      <c r="P264" s="6" t="str">
        <f t="shared" si="28"/>
        <v/>
      </c>
      <c r="Q264" s="6" t="str">
        <f t="shared" si="29"/>
        <v/>
      </c>
    </row>
    <row r="265" spans="13:17" x14ac:dyDescent="0.3">
      <c r="M265" s="6" t="str">
        <f t="shared" si="25"/>
        <v/>
      </c>
      <c r="N265" s="6" t="str">
        <f t="shared" si="26"/>
        <v/>
      </c>
      <c r="O265" s="6" t="str">
        <f t="shared" si="27"/>
        <v/>
      </c>
      <c r="P265" s="6" t="str">
        <f t="shared" si="28"/>
        <v/>
      </c>
      <c r="Q265" s="6" t="str">
        <f t="shared" si="29"/>
        <v/>
      </c>
    </row>
    <row r="266" spans="13:17" x14ac:dyDescent="0.3">
      <c r="M266" s="6" t="str">
        <f t="shared" si="25"/>
        <v/>
      </c>
      <c r="N266" s="6" t="str">
        <f t="shared" si="26"/>
        <v/>
      </c>
      <c r="O266" s="6" t="str">
        <f t="shared" si="27"/>
        <v/>
      </c>
      <c r="P266" s="6" t="str">
        <f t="shared" si="28"/>
        <v/>
      </c>
      <c r="Q266" s="6" t="str">
        <f t="shared" si="29"/>
        <v/>
      </c>
    </row>
    <row r="267" spans="13:17" x14ac:dyDescent="0.3">
      <c r="M267" s="6" t="str">
        <f t="shared" si="25"/>
        <v/>
      </c>
      <c r="N267" s="6" t="str">
        <f t="shared" si="26"/>
        <v/>
      </c>
      <c r="O267" s="6" t="str">
        <f t="shared" si="27"/>
        <v/>
      </c>
      <c r="P267" s="6" t="str">
        <f t="shared" si="28"/>
        <v/>
      </c>
      <c r="Q267" s="6" t="str">
        <f t="shared" si="29"/>
        <v/>
      </c>
    </row>
    <row r="268" spans="13:17" x14ac:dyDescent="0.3">
      <c r="M268" s="6" t="str">
        <f t="shared" ref="M268:M331" si="30">IF(OR(I268="",F268=""),"",IF(OR(I268&lt;=0,F268&lt;=0),"",0.95*((I268^3)/F268)^0.385))</f>
        <v/>
      </c>
      <c r="N268" s="6" t="str">
        <f t="shared" ref="N268:N331" si="31">IF(OR(B268="",I268="",G268="",D268=""),"",IF(OR(B268&lt;=0,I268&lt;=0,G268&lt;=D268),"",(4*SQRT(B268)+1.5*I268)/(0.8*SQRT(G268-D268))))</f>
        <v/>
      </c>
      <c r="O268" s="6" t="str">
        <f t="shared" ref="O268:O331" si="32">IF(OR(I268="",C268="",H268=""),"",IF(OR(I268&lt;=0,H268&lt;=0,C268&lt;=0,C268&gt;100),"",((100*((I268*1000/0.3048)^0.8)*(((1000/C268)-9)^0.7))/(1900*SQRT(H268*100)))/60))</f>
        <v/>
      </c>
      <c r="P268" s="6" t="str">
        <f t="shared" ref="P268:P331" si="33">IF(OR(I268="",H268=""),"",IF(OR(I268&lt;=0,H268&lt;=0),"",(18*(I268^0.76)/(H268^0.19))/60))</f>
        <v/>
      </c>
      <c r="Q268" s="6" t="str">
        <f t="shared" ref="Q268:Q331" si="34">IF(OR(I268="",K268=""),"",IF(OR(I268&lt;=0,K268&lt;=0),"",I268/(3.6*K268)))</f>
        <v/>
      </c>
    </row>
    <row r="269" spans="13:17" x14ac:dyDescent="0.3">
      <c r="M269" s="6" t="str">
        <f t="shared" si="30"/>
        <v/>
      </c>
      <c r="N269" s="6" t="str">
        <f t="shared" si="31"/>
        <v/>
      </c>
      <c r="O269" s="6" t="str">
        <f t="shared" si="32"/>
        <v/>
      </c>
      <c r="P269" s="6" t="str">
        <f t="shared" si="33"/>
        <v/>
      </c>
      <c r="Q269" s="6" t="str">
        <f t="shared" si="34"/>
        <v/>
      </c>
    </row>
    <row r="270" spans="13:17" x14ac:dyDescent="0.3">
      <c r="M270" s="6" t="str">
        <f t="shared" si="30"/>
        <v/>
      </c>
      <c r="N270" s="6" t="str">
        <f t="shared" si="31"/>
        <v/>
      </c>
      <c r="O270" s="6" t="str">
        <f t="shared" si="32"/>
        <v/>
      </c>
      <c r="P270" s="6" t="str">
        <f t="shared" si="33"/>
        <v/>
      </c>
      <c r="Q270" s="6" t="str">
        <f t="shared" si="34"/>
        <v/>
      </c>
    </row>
    <row r="271" spans="13:17" x14ac:dyDescent="0.3">
      <c r="M271" s="6" t="str">
        <f t="shared" si="30"/>
        <v/>
      </c>
      <c r="N271" s="6" t="str">
        <f t="shared" si="31"/>
        <v/>
      </c>
      <c r="O271" s="6" t="str">
        <f t="shared" si="32"/>
        <v/>
      </c>
      <c r="P271" s="6" t="str">
        <f t="shared" si="33"/>
        <v/>
      </c>
      <c r="Q271" s="6" t="str">
        <f t="shared" si="34"/>
        <v/>
      </c>
    </row>
    <row r="272" spans="13:17" x14ac:dyDescent="0.3">
      <c r="M272" s="6" t="str">
        <f t="shared" si="30"/>
        <v/>
      </c>
      <c r="N272" s="6" t="str">
        <f t="shared" si="31"/>
        <v/>
      </c>
      <c r="O272" s="6" t="str">
        <f t="shared" si="32"/>
        <v/>
      </c>
      <c r="P272" s="6" t="str">
        <f t="shared" si="33"/>
        <v/>
      </c>
      <c r="Q272" s="6" t="str">
        <f t="shared" si="34"/>
        <v/>
      </c>
    </row>
    <row r="273" spans="13:17" x14ac:dyDescent="0.3">
      <c r="M273" s="6" t="str">
        <f t="shared" si="30"/>
        <v/>
      </c>
      <c r="N273" s="6" t="str">
        <f t="shared" si="31"/>
        <v/>
      </c>
      <c r="O273" s="6" t="str">
        <f t="shared" si="32"/>
        <v/>
      </c>
      <c r="P273" s="6" t="str">
        <f t="shared" si="33"/>
        <v/>
      </c>
      <c r="Q273" s="6" t="str">
        <f t="shared" si="34"/>
        <v/>
      </c>
    </row>
    <row r="274" spans="13:17" x14ac:dyDescent="0.3">
      <c r="M274" s="6" t="str">
        <f t="shared" si="30"/>
        <v/>
      </c>
      <c r="N274" s="6" t="str">
        <f t="shared" si="31"/>
        <v/>
      </c>
      <c r="O274" s="6" t="str">
        <f t="shared" si="32"/>
        <v/>
      </c>
      <c r="P274" s="6" t="str">
        <f t="shared" si="33"/>
        <v/>
      </c>
      <c r="Q274" s="6" t="str">
        <f t="shared" si="34"/>
        <v/>
      </c>
    </row>
    <row r="275" spans="13:17" x14ac:dyDescent="0.3">
      <c r="M275" s="6" t="str">
        <f t="shared" si="30"/>
        <v/>
      </c>
      <c r="N275" s="6" t="str">
        <f t="shared" si="31"/>
        <v/>
      </c>
      <c r="O275" s="6" t="str">
        <f t="shared" si="32"/>
        <v/>
      </c>
      <c r="P275" s="6" t="str">
        <f t="shared" si="33"/>
        <v/>
      </c>
      <c r="Q275" s="6" t="str">
        <f t="shared" si="34"/>
        <v/>
      </c>
    </row>
    <row r="276" spans="13:17" x14ac:dyDescent="0.3">
      <c r="M276" s="6" t="str">
        <f t="shared" si="30"/>
        <v/>
      </c>
      <c r="N276" s="6" t="str">
        <f t="shared" si="31"/>
        <v/>
      </c>
      <c r="O276" s="6" t="str">
        <f t="shared" si="32"/>
        <v/>
      </c>
      <c r="P276" s="6" t="str">
        <f t="shared" si="33"/>
        <v/>
      </c>
      <c r="Q276" s="6" t="str">
        <f t="shared" si="34"/>
        <v/>
      </c>
    </row>
    <row r="277" spans="13:17" x14ac:dyDescent="0.3">
      <c r="M277" s="6" t="str">
        <f t="shared" si="30"/>
        <v/>
      </c>
      <c r="N277" s="6" t="str">
        <f t="shared" si="31"/>
        <v/>
      </c>
      <c r="O277" s="6" t="str">
        <f t="shared" si="32"/>
        <v/>
      </c>
      <c r="P277" s="6" t="str">
        <f t="shared" si="33"/>
        <v/>
      </c>
      <c r="Q277" s="6" t="str">
        <f t="shared" si="34"/>
        <v/>
      </c>
    </row>
    <row r="278" spans="13:17" x14ac:dyDescent="0.3">
      <c r="M278" s="6" t="str">
        <f t="shared" si="30"/>
        <v/>
      </c>
      <c r="N278" s="6" t="str">
        <f t="shared" si="31"/>
        <v/>
      </c>
      <c r="O278" s="6" t="str">
        <f t="shared" si="32"/>
        <v/>
      </c>
      <c r="P278" s="6" t="str">
        <f t="shared" si="33"/>
        <v/>
      </c>
      <c r="Q278" s="6" t="str">
        <f t="shared" si="34"/>
        <v/>
      </c>
    </row>
    <row r="279" spans="13:17" x14ac:dyDescent="0.3">
      <c r="M279" s="6" t="str">
        <f t="shared" si="30"/>
        <v/>
      </c>
      <c r="N279" s="6" t="str">
        <f t="shared" si="31"/>
        <v/>
      </c>
      <c r="O279" s="6" t="str">
        <f t="shared" si="32"/>
        <v/>
      </c>
      <c r="P279" s="6" t="str">
        <f t="shared" si="33"/>
        <v/>
      </c>
      <c r="Q279" s="6" t="str">
        <f t="shared" si="34"/>
        <v/>
      </c>
    </row>
    <row r="280" spans="13:17" x14ac:dyDescent="0.3">
      <c r="M280" s="6" t="str">
        <f t="shared" si="30"/>
        <v/>
      </c>
      <c r="N280" s="6" t="str">
        <f t="shared" si="31"/>
        <v/>
      </c>
      <c r="O280" s="6" t="str">
        <f t="shared" si="32"/>
        <v/>
      </c>
      <c r="P280" s="6" t="str">
        <f t="shared" si="33"/>
        <v/>
      </c>
      <c r="Q280" s="6" t="str">
        <f t="shared" si="34"/>
        <v/>
      </c>
    </row>
    <row r="281" spans="13:17" x14ac:dyDescent="0.3">
      <c r="M281" s="6" t="str">
        <f t="shared" si="30"/>
        <v/>
      </c>
      <c r="N281" s="6" t="str">
        <f t="shared" si="31"/>
        <v/>
      </c>
      <c r="O281" s="6" t="str">
        <f t="shared" si="32"/>
        <v/>
      </c>
      <c r="P281" s="6" t="str">
        <f t="shared" si="33"/>
        <v/>
      </c>
      <c r="Q281" s="6" t="str">
        <f t="shared" si="34"/>
        <v/>
      </c>
    </row>
    <row r="282" spans="13:17" x14ac:dyDescent="0.3">
      <c r="M282" s="6" t="str">
        <f t="shared" si="30"/>
        <v/>
      </c>
      <c r="N282" s="6" t="str">
        <f t="shared" si="31"/>
        <v/>
      </c>
      <c r="O282" s="6" t="str">
        <f t="shared" si="32"/>
        <v/>
      </c>
      <c r="P282" s="6" t="str">
        <f t="shared" si="33"/>
        <v/>
      </c>
      <c r="Q282" s="6" t="str">
        <f t="shared" si="34"/>
        <v/>
      </c>
    </row>
    <row r="283" spans="13:17" x14ac:dyDescent="0.3">
      <c r="M283" s="6" t="str">
        <f t="shared" si="30"/>
        <v/>
      </c>
      <c r="N283" s="6" t="str">
        <f t="shared" si="31"/>
        <v/>
      </c>
      <c r="O283" s="6" t="str">
        <f t="shared" si="32"/>
        <v/>
      </c>
      <c r="P283" s="6" t="str">
        <f t="shared" si="33"/>
        <v/>
      </c>
      <c r="Q283" s="6" t="str">
        <f t="shared" si="34"/>
        <v/>
      </c>
    </row>
    <row r="284" spans="13:17" x14ac:dyDescent="0.3">
      <c r="M284" s="6" t="str">
        <f t="shared" si="30"/>
        <v/>
      </c>
      <c r="N284" s="6" t="str">
        <f t="shared" si="31"/>
        <v/>
      </c>
      <c r="O284" s="6" t="str">
        <f t="shared" si="32"/>
        <v/>
      </c>
      <c r="P284" s="6" t="str">
        <f t="shared" si="33"/>
        <v/>
      </c>
      <c r="Q284" s="6" t="str">
        <f t="shared" si="34"/>
        <v/>
      </c>
    </row>
    <row r="285" spans="13:17" x14ac:dyDescent="0.3">
      <c r="M285" s="6" t="str">
        <f t="shared" si="30"/>
        <v/>
      </c>
      <c r="N285" s="6" t="str">
        <f t="shared" si="31"/>
        <v/>
      </c>
      <c r="O285" s="6" t="str">
        <f t="shared" si="32"/>
        <v/>
      </c>
      <c r="P285" s="6" t="str">
        <f t="shared" si="33"/>
        <v/>
      </c>
      <c r="Q285" s="6" t="str">
        <f t="shared" si="34"/>
        <v/>
      </c>
    </row>
    <row r="286" spans="13:17" x14ac:dyDescent="0.3">
      <c r="M286" s="6" t="str">
        <f t="shared" si="30"/>
        <v/>
      </c>
      <c r="N286" s="6" t="str">
        <f t="shared" si="31"/>
        <v/>
      </c>
      <c r="O286" s="6" t="str">
        <f t="shared" si="32"/>
        <v/>
      </c>
      <c r="P286" s="6" t="str">
        <f t="shared" si="33"/>
        <v/>
      </c>
      <c r="Q286" s="6" t="str">
        <f t="shared" si="34"/>
        <v/>
      </c>
    </row>
    <row r="287" spans="13:17" x14ac:dyDescent="0.3">
      <c r="M287" s="6" t="str">
        <f t="shared" si="30"/>
        <v/>
      </c>
      <c r="N287" s="6" t="str">
        <f t="shared" si="31"/>
        <v/>
      </c>
      <c r="O287" s="6" t="str">
        <f t="shared" si="32"/>
        <v/>
      </c>
      <c r="P287" s="6" t="str">
        <f t="shared" si="33"/>
        <v/>
      </c>
      <c r="Q287" s="6" t="str">
        <f t="shared" si="34"/>
        <v/>
      </c>
    </row>
    <row r="288" spans="13:17" x14ac:dyDescent="0.3">
      <c r="M288" s="6" t="str">
        <f t="shared" si="30"/>
        <v/>
      </c>
      <c r="N288" s="6" t="str">
        <f t="shared" si="31"/>
        <v/>
      </c>
      <c r="O288" s="6" t="str">
        <f t="shared" si="32"/>
        <v/>
      </c>
      <c r="P288" s="6" t="str">
        <f t="shared" si="33"/>
        <v/>
      </c>
      <c r="Q288" s="6" t="str">
        <f t="shared" si="34"/>
        <v/>
      </c>
    </row>
    <row r="289" spans="13:17" x14ac:dyDescent="0.3">
      <c r="M289" s="6" t="str">
        <f t="shared" si="30"/>
        <v/>
      </c>
      <c r="N289" s="6" t="str">
        <f t="shared" si="31"/>
        <v/>
      </c>
      <c r="O289" s="6" t="str">
        <f t="shared" si="32"/>
        <v/>
      </c>
      <c r="P289" s="6" t="str">
        <f t="shared" si="33"/>
        <v/>
      </c>
      <c r="Q289" s="6" t="str">
        <f t="shared" si="34"/>
        <v/>
      </c>
    </row>
    <row r="290" spans="13:17" x14ac:dyDescent="0.3">
      <c r="M290" s="6" t="str">
        <f t="shared" si="30"/>
        <v/>
      </c>
      <c r="N290" s="6" t="str">
        <f t="shared" si="31"/>
        <v/>
      </c>
      <c r="O290" s="6" t="str">
        <f t="shared" si="32"/>
        <v/>
      </c>
      <c r="P290" s="6" t="str">
        <f t="shared" si="33"/>
        <v/>
      </c>
      <c r="Q290" s="6" t="str">
        <f t="shared" si="34"/>
        <v/>
      </c>
    </row>
    <row r="291" spans="13:17" x14ac:dyDescent="0.3">
      <c r="M291" s="6" t="str">
        <f t="shared" si="30"/>
        <v/>
      </c>
      <c r="N291" s="6" t="str">
        <f t="shared" si="31"/>
        <v/>
      </c>
      <c r="O291" s="6" t="str">
        <f t="shared" si="32"/>
        <v/>
      </c>
      <c r="P291" s="6" t="str">
        <f t="shared" si="33"/>
        <v/>
      </c>
      <c r="Q291" s="6" t="str">
        <f t="shared" si="34"/>
        <v/>
      </c>
    </row>
    <row r="292" spans="13:17" x14ac:dyDescent="0.3">
      <c r="M292" s="6" t="str">
        <f t="shared" si="30"/>
        <v/>
      </c>
      <c r="N292" s="6" t="str">
        <f t="shared" si="31"/>
        <v/>
      </c>
      <c r="O292" s="6" t="str">
        <f t="shared" si="32"/>
        <v/>
      </c>
      <c r="P292" s="6" t="str">
        <f t="shared" si="33"/>
        <v/>
      </c>
      <c r="Q292" s="6" t="str">
        <f t="shared" si="34"/>
        <v/>
      </c>
    </row>
    <row r="293" spans="13:17" x14ac:dyDescent="0.3">
      <c r="M293" s="6" t="str">
        <f t="shared" si="30"/>
        <v/>
      </c>
      <c r="N293" s="6" t="str">
        <f t="shared" si="31"/>
        <v/>
      </c>
      <c r="O293" s="6" t="str">
        <f t="shared" si="32"/>
        <v/>
      </c>
      <c r="P293" s="6" t="str">
        <f t="shared" si="33"/>
        <v/>
      </c>
      <c r="Q293" s="6" t="str">
        <f t="shared" si="34"/>
        <v/>
      </c>
    </row>
    <row r="294" spans="13:17" x14ac:dyDescent="0.3">
      <c r="M294" s="6" t="str">
        <f t="shared" si="30"/>
        <v/>
      </c>
      <c r="N294" s="6" t="str">
        <f t="shared" si="31"/>
        <v/>
      </c>
      <c r="O294" s="6" t="str">
        <f t="shared" si="32"/>
        <v/>
      </c>
      <c r="P294" s="6" t="str">
        <f t="shared" si="33"/>
        <v/>
      </c>
      <c r="Q294" s="6" t="str">
        <f t="shared" si="34"/>
        <v/>
      </c>
    </row>
    <row r="295" spans="13:17" x14ac:dyDescent="0.3">
      <c r="M295" s="6" t="str">
        <f t="shared" si="30"/>
        <v/>
      </c>
      <c r="N295" s="6" t="str">
        <f t="shared" si="31"/>
        <v/>
      </c>
      <c r="O295" s="6" t="str">
        <f t="shared" si="32"/>
        <v/>
      </c>
      <c r="P295" s="6" t="str">
        <f t="shared" si="33"/>
        <v/>
      </c>
      <c r="Q295" s="6" t="str">
        <f t="shared" si="34"/>
        <v/>
      </c>
    </row>
    <row r="296" spans="13:17" x14ac:dyDescent="0.3">
      <c r="M296" s="6" t="str">
        <f t="shared" si="30"/>
        <v/>
      </c>
      <c r="N296" s="6" t="str">
        <f t="shared" si="31"/>
        <v/>
      </c>
      <c r="O296" s="6" t="str">
        <f t="shared" si="32"/>
        <v/>
      </c>
      <c r="P296" s="6" t="str">
        <f t="shared" si="33"/>
        <v/>
      </c>
      <c r="Q296" s="6" t="str">
        <f t="shared" si="34"/>
        <v/>
      </c>
    </row>
    <row r="297" spans="13:17" x14ac:dyDescent="0.3">
      <c r="M297" s="6" t="str">
        <f t="shared" si="30"/>
        <v/>
      </c>
      <c r="N297" s="6" t="str">
        <f t="shared" si="31"/>
        <v/>
      </c>
      <c r="O297" s="6" t="str">
        <f t="shared" si="32"/>
        <v/>
      </c>
      <c r="P297" s="6" t="str">
        <f t="shared" si="33"/>
        <v/>
      </c>
      <c r="Q297" s="6" t="str">
        <f t="shared" si="34"/>
        <v/>
      </c>
    </row>
    <row r="298" spans="13:17" x14ac:dyDescent="0.3">
      <c r="M298" s="6" t="str">
        <f t="shared" si="30"/>
        <v/>
      </c>
      <c r="N298" s="6" t="str">
        <f t="shared" si="31"/>
        <v/>
      </c>
      <c r="O298" s="6" t="str">
        <f t="shared" si="32"/>
        <v/>
      </c>
      <c r="P298" s="6" t="str">
        <f t="shared" si="33"/>
        <v/>
      </c>
      <c r="Q298" s="6" t="str">
        <f t="shared" si="34"/>
        <v/>
      </c>
    </row>
    <row r="299" spans="13:17" x14ac:dyDescent="0.3">
      <c r="M299" s="6" t="str">
        <f t="shared" si="30"/>
        <v/>
      </c>
      <c r="N299" s="6" t="str">
        <f t="shared" si="31"/>
        <v/>
      </c>
      <c r="O299" s="6" t="str">
        <f t="shared" si="32"/>
        <v/>
      </c>
      <c r="P299" s="6" t="str">
        <f t="shared" si="33"/>
        <v/>
      </c>
      <c r="Q299" s="6" t="str">
        <f t="shared" si="34"/>
        <v/>
      </c>
    </row>
    <row r="300" spans="13:17" x14ac:dyDescent="0.3">
      <c r="M300" s="6" t="str">
        <f t="shared" si="30"/>
        <v/>
      </c>
      <c r="N300" s="6" t="str">
        <f t="shared" si="31"/>
        <v/>
      </c>
      <c r="O300" s="6" t="str">
        <f t="shared" si="32"/>
        <v/>
      </c>
      <c r="P300" s="6" t="str">
        <f t="shared" si="33"/>
        <v/>
      </c>
      <c r="Q300" s="6" t="str">
        <f t="shared" si="34"/>
        <v/>
      </c>
    </row>
    <row r="301" spans="13:17" x14ac:dyDescent="0.3">
      <c r="M301" s="6" t="str">
        <f t="shared" si="30"/>
        <v/>
      </c>
      <c r="N301" s="6" t="str">
        <f t="shared" si="31"/>
        <v/>
      </c>
      <c r="O301" s="6" t="str">
        <f t="shared" si="32"/>
        <v/>
      </c>
      <c r="P301" s="6" t="str">
        <f t="shared" si="33"/>
        <v/>
      </c>
      <c r="Q301" s="6" t="str">
        <f t="shared" si="34"/>
        <v/>
      </c>
    </row>
    <row r="302" spans="13:17" x14ac:dyDescent="0.3">
      <c r="M302" s="6" t="str">
        <f t="shared" si="30"/>
        <v/>
      </c>
      <c r="N302" s="6" t="str">
        <f t="shared" si="31"/>
        <v/>
      </c>
      <c r="O302" s="6" t="str">
        <f t="shared" si="32"/>
        <v/>
      </c>
      <c r="P302" s="6" t="str">
        <f t="shared" si="33"/>
        <v/>
      </c>
      <c r="Q302" s="6" t="str">
        <f t="shared" si="34"/>
        <v/>
      </c>
    </row>
    <row r="303" spans="13:17" x14ac:dyDescent="0.3">
      <c r="M303" s="6" t="str">
        <f t="shared" si="30"/>
        <v/>
      </c>
      <c r="N303" s="6" t="str">
        <f t="shared" si="31"/>
        <v/>
      </c>
      <c r="O303" s="6" t="str">
        <f t="shared" si="32"/>
        <v/>
      </c>
      <c r="P303" s="6" t="str">
        <f t="shared" si="33"/>
        <v/>
      </c>
      <c r="Q303" s="6" t="str">
        <f t="shared" si="34"/>
        <v/>
      </c>
    </row>
    <row r="304" spans="13:17" x14ac:dyDescent="0.3">
      <c r="M304" s="6" t="str">
        <f t="shared" si="30"/>
        <v/>
      </c>
      <c r="N304" s="6" t="str">
        <f t="shared" si="31"/>
        <v/>
      </c>
      <c r="O304" s="6" t="str">
        <f t="shared" si="32"/>
        <v/>
      </c>
      <c r="P304" s="6" t="str">
        <f t="shared" si="33"/>
        <v/>
      </c>
      <c r="Q304" s="6" t="str">
        <f t="shared" si="34"/>
        <v/>
      </c>
    </row>
    <row r="305" spans="13:17" x14ac:dyDescent="0.3">
      <c r="M305" s="6" t="str">
        <f t="shared" si="30"/>
        <v/>
      </c>
      <c r="N305" s="6" t="str">
        <f t="shared" si="31"/>
        <v/>
      </c>
      <c r="O305" s="6" t="str">
        <f t="shared" si="32"/>
        <v/>
      </c>
      <c r="P305" s="6" t="str">
        <f t="shared" si="33"/>
        <v/>
      </c>
      <c r="Q305" s="6" t="str">
        <f t="shared" si="34"/>
        <v/>
      </c>
    </row>
    <row r="306" spans="13:17" x14ac:dyDescent="0.3">
      <c r="M306" s="6" t="str">
        <f t="shared" si="30"/>
        <v/>
      </c>
      <c r="N306" s="6" t="str">
        <f t="shared" si="31"/>
        <v/>
      </c>
      <c r="O306" s="6" t="str">
        <f t="shared" si="32"/>
        <v/>
      </c>
      <c r="P306" s="6" t="str">
        <f t="shared" si="33"/>
        <v/>
      </c>
      <c r="Q306" s="6" t="str">
        <f t="shared" si="34"/>
        <v/>
      </c>
    </row>
    <row r="307" spans="13:17" x14ac:dyDescent="0.3">
      <c r="M307" s="6" t="str">
        <f t="shared" si="30"/>
        <v/>
      </c>
      <c r="N307" s="6" t="str">
        <f t="shared" si="31"/>
        <v/>
      </c>
      <c r="O307" s="6" t="str">
        <f t="shared" si="32"/>
        <v/>
      </c>
      <c r="P307" s="6" t="str">
        <f t="shared" si="33"/>
        <v/>
      </c>
      <c r="Q307" s="6" t="str">
        <f t="shared" si="34"/>
        <v/>
      </c>
    </row>
    <row r="308" spans="13:17" x14ac:dyDescent="0.3">
      <c r="M308" s="6" t="str">
        <f t="shared" si="30"/>
        <v/>
      </c>
      <c r="N308" s="6" t="str">
        <f t="shared" si="31"/>
        <v/>
      </c>
      <c r="O308" s="6" t="str">
        <f t="shared" si="32"/>
        <v/>
      </c>
      <c r="P308" s="6" t="str">
        <f t="shared" si="33"/>
        <v/>
      </c>
      <c r="Q308" s="6" t="str">
        <f t="shared" si="34"/>
        <v/>
      </c>
    </row>
    <row r="309" spans="13:17" x14ac:dyDescent="0.3">
      <c r="M309" s="6" t="str">
        <f t="shared" si="30"/>
        <v/>
      </c>
      <c r="N309" s="6" t="str">
        <f t="shared" si="31"/>
        <v/>
      </c>
      <c r="O309" s="6" t="str">
        <f t="shared" si="32"/>
        <v/>
      </c>
      <c r="P309" s="6" t="str">
        <f t="shared" si="33"/>
        <v/>
      </c>
      <c r="Q309" s="6" t="str">
        <f t="shared" si="34"/>
        <v/>
      </c>
    </row>
    <row r="310" spans="13:17" x14ac:dyDescent="0.3">
      <c r="M310" s="6" t="str">
        <f t="shared" si="30"/>
        <v/>
      </c>
      <c r="N310" s="6" t="str">
        <f t="shared" si="31"/>
        <v/>
      </c>
      <c r="O310" s="6" t="str">
        <f t="shared" si="32"/>
        <v/>
      </c>
      <c r="P310" s="6" t="str">
        <f t="shared" si="33"/>
        <v/>
      </c>
      <c r="Q310" s="6" t="str">
        <f t="shared" si="34"/>
        <v/>
      </c>
    </row>
    <row r="311" spans="13:17" x14ac:dyDescent="0.3">
      <c r="M311" s="6" t="str">
        <f t="shared" si="30"/>
        <v/>
      </c>
      <c r="N311" s="6" t="str">
        <f t="shared" si="31"/>
        <v/>
      </c>
      <c r="O311" s="6" t="str">
        <f t="shared" si="32"/>
        <v/>
      </c>
      <c r="P311" s="6" t="str">
        <f t="shared" si="33"/>
        <v/>
      </c>
      <c r="Q311" s="6" t="str">
        <f t="shared" si="34"/>
        <v/>
      </c>
    </row>
    <row r="312" spans="13:17" x14ac:dyDescent="0.3">
      <c r="M312" s="6" t="str">
        <f t="shared" si="30"/>
        <v/>
      </c>
      <c r="N312" s="6" t="str">
        <f t="shared" si="31"/>
        <v/>
      </c>
      <c r="O312" s="6" t="str">
        <f t="shared" si="32"/>
        <v/>
      </c>
      <c r="P312" s="6" t="str">
        <f t="shared" si="33"/>
        <v/>
      </c>
      <c r="Q312" s="6" t="str">
        <f t="shared" si="34"/>
        <v/>
      </c>
    </row>
    <row r="313" spans="13:17" x14ac:dyDescent="0.3">
      <c r="M313" s="6" t="str">
        <f t="shared" si="30"/>
        <v/>
      </c>
      <c r="N313" s="6" t="str">
        <f t="shared" si="31"/>
        <v/>
      </c>
      <c r="O313" s="6" t="str">
        <f t="shared" si="32"/>
        <v/>
      </c>
      <c r="P313" s="6" t="str">
        <f t="shared" si="33"/>
        <v/>
      </c>
      <c r="Q313" s="6" t="str">
        <f t="shared" si="34"/>
        <v/>
      </c>
    </row>
    <row r="314" spans="13:17" x14ac:dyDescent="0.3">
      <c r="M314" s="6" t="str">
        <f t="shared" si="30"/>
        <v/>
      </c>
      <c r="N314" s="6" t="str">
        <f t="shared" si="31"/>
        <v/>
      </c>
      <c r="O314" s="6" t="str">
        <f t="shared" si="32"/>
        <v/>
      </c>
      <c r="P314" s="6" t="str">
        <f t="shared" si="33"/>
        <v/>
      </c>
      <c r="Q314" s="6" t="str">
        <f t="shared" si="34"/>
        <v/>
      </c>
    </row>
    <row r="315" spans="13:17" x14ac:dyDescent="0.3">
      <c r="M315" s="6" t="str">
        <f t="shared" si="30"/>
        <v/>
      </c>
      <c r="N315" s="6" t="str">
        <f t="shared" si="31"/>
        <v/>
      </c>
      <c r="O315" s="6" t="str">
        <f t="shared" si="32"/>
        <v/>
      </c>
      <c r="P315" s="6" t="str">
        <f t="shared" si="33"/>
        <v/>
      </c>
      <c r="Q315" s="6" t="str">
        <f t="shared" si="34"/>
        <v/>
      </c>
    </row>
    <row r="316" spans="13:17" x14ac:dyDescent="0.3">
      <c r="M316" s="6" t="str">
        <f t="shared" si="30"/>
        <v/>
      </c>
      <c r="N316" s="6" t="str">
        <f t="shared" si="31"/>
        <v/>
      </c>
      <c r="O316" s="6" t="str">
        <f t="shared" si="32"/>
        <v/>
      </c>
      <c r="P316" s="6" t="str">
        <f t="shared" si="33"/>
        <v/>
      </c>
      <c r="Q316" s="6" t="str">
        <f t="shared" si="34"/>
        <v/>
      </c>
    </row>
    <row r="317" spans="13:17" x14ac:dyDescent="0.3">
      <c r="M317" s="6" t="str">
        <f t="shared" si="30"/>
        <v/>
      </c>
      <c r="N317" s="6" t="str">
        <f t="shared" si="31"/>
        <v/>
      </c>
      <c r="O317" s="6" t="str">
        <f t="shared" si="32"/>
        <v/>
      </c>
      <c r="P317" s="6" t="str">
        <f t="shared" si="33"/>
        <v/>
      </c>
      <c r="Q317" s="6" t="str">
        <f t="shared" si="34"/>
        <v/>
      </c>
    </row>
    <row r="318" spans="13:17" x14ac:dyDescent="0.3">
      <c r="M318" s="6" t="str">
        <f t="shared" si="30"/>
        <v/>
      </c>
      <c r="N318" s="6" t="str">
        <f t="shared" si="31"/>
        <v/>
      </c>
      <c r="O318" s="6" t="str">
        <f t="shared" si="32"/>
        <v/>
      </c>
      <c r="P318" s="6" t="str">
        <f t="shared" si="33"/>
        <v/>
      </c>
      <c r="Q318" s="6" t="str">
        <f t="shared" si="34"/>
        <v/>
      </c>
    </row>
    <row r="319" spans="13:17" x14ac:dyDescent="0.3">
      <c r="M319" s="6" t="str">
        <f t="shared" si="30"/>
        <v/>
      </c>
      <c r="N319" s="6" t="str">
        <f t="shared" si="31"/>
        <v/>
      </c>
      <c r="O319" s="6" t="str">
        <f t="shared" si="32"/>
        <v/>
      </c>
      <c r="P319" s="6" t="str">
        <f t="shared" si="33"/>
        <v/>
      </c>
      <c r="Q319" s="6" t="str">
        <f t="shared" si="34"/>
        <v/>
      </c>
    </row>
    <row r="320" spans="13:17" x14ac:dyDescent="0.3">
      <c r="M320" s="6" t="str">
        <f t="shared" si="30"/>
        <v/>
      </c>
      <c r="N320" s="6" t="str">
        <f t="shared" si="31"/>
        <v/>
      </c>
      <c r="O320" s="6" t="str">
        <f t="shared" si="32"/>
        <v/>
      </c>
      <c r="P320" s="6" t="str">
        <f t="shared" si="33"/>
        <v/>
      </c>
      <c r="Q320" s="6" t="str">
        <f t="shared" si="34"/>
        <v/>
      </c>
    </row>
    <row r="321" spans="13:17" x14ac:dyDescent="0.3">
      <c r="M321" s="6" t="str">
        <f t="shared" si="30"/>
        <v/>
      </c>
      <c r="N321" s="6" t="str">
        <f t="shared" si="31"/>
        <v/>
      </c>
      <c r="O321" s="6" t="str">
        <f t="shared" si="32"/>
        <v/>
      </c>
      <c r="P321" s="6" t="str">
        <f t="shared" si="33"/>
        <v/>
      </c>
      <c r="Q321" s="6" t="str">
        <f t="shared" si="34"/>
        <v/>
      </c>
    </row>
    <row r="322" spans="13:17" x14ac:dyDescent="0.3">
      <c r="M322" s="6" t="str">
        <f t="shared" si="30"/>
        <v/>
      </c>
      <c r="N322" s="6" t="str">
        <f t="shared" si="31"/>
        <v/>
      </c>
      <c r="O322" s="6" t="str">
        <f t="shared" si="32"/>
        <v/>
      </c>
      <c r="P322" s="6" t="str">
        <f t="shared" si="33"/>
        <v/>
      </c>
      <c r="Q322" s="6" t="str">
        <f t="shared" si="34"/>
        <v/>
      </c>
    </row>
    <row r="323" spans="13:17" x14ac:dyDescent="0.3">
      <c r="M323" s="6" t="str">
        <f t="shared" si="30"/>
        <v/>
      </c>
      <c r="N323" s="6" t="str">
        <f t="shared" si="31"/>
        <v/>
      </c>
      <c r="O323" s="6" t="str">
        <f t="shared" si="32"/>
        <v/>
      </c>
      <c r="P323" s="6" t="str">
        <f t="shared" si="33"/>
        <v/>
      </c>
      <c r="Q323" s="6" t="str">
        <f t="shared" si="34"/>
        <v/>
      </c>
    </row>
    <row r="324" spans="13:17" x14ac:dyDescent="0.3">
      <c r="M324" s="6" t="str">
        <f t="shared" si="30"/>
        <v/>
      </c>
      <c r="N324" s="6" t="str">
        <f t="shared" si="31"/>
        <v/>
      </c>
      <c r="O324" s="6" t="str">
        <f t="shared" si="32"/>
        <v/>
      </c>
      <c r="P324" s="6" t="str">
        <f t="shared" si="33"/>
        <v/>
      </c>
      <c r="Q324" s="6" t="str">
        <f t="shared" si="34"/>
        <v/>
      </c>
    </row>
    <row r="325" spans="13:17" x14ac:dyDescent="0.3">
      <c r="M325" s="6" t="str">
        <f t="shared" si="30"/>
        <v/>
      </c>
      <c r="N325" s="6" t="str">
        <f t="shared" si="31"/>
        <v/>
      </c>
      <c r="O325" s="6" t="str">
        <f t="shared" si="32"/>
        <v/>
      </c>
      <c r="P325" s="6" t="str">
        <f t="shared" si="33"/>
        <v/>
      </c>
      <c r="Q325" s="6" t="str">
        <f t="shared" si="34"/>
        <v/>
      </c>
    </row>
    <row r="326" spans="13:17" x14ac:dyDescent="0.3">
      <c r="M326" s="6" t="str">
        <f t="shared" si="30"/>
        <v/>
      </c>
      <c r="N326" s="6" t="str">
        <f t="shared" si="31"/>
        <v/>
      </c>
      <c r="O326" s="6" t="str">
        <f t="shared" si="32"/>
        <v/>
      </c>
      <c r="P326" s="6" t="str">
        <f t="shared" si="33"/>
        <v/>
      </c>
      <c r="Q326" s="6" t="str">
        <f t="shared" si="34"/>
        <v/>
      </c>
    </row>
    <row r="327" spans="13:17" x14ac:dyDescent="0.3">
      <c r="M327" s="6" t="str">
        <f t="shared" si="30"/>
        <v/>
      </c>
      <c r="N327" s="6" t="str">
        <f t="shared" si="31"/>
        <v/>
      </c>
      <c r="O327" s="6" t="str">
        <f t="shared" si="32"/>
        <v/>
      </c>
      <c r="P327" s="6" t="str">
        <f t="shared" si="33"/>
        <v/>
      </c>
      <c r="Q327" s="6" t="str">
        <f t="shared" si="34"/>
        <v/>
      </c>
    </row>
    <row r="328" spans="13:17" x14ac:dyDescent="0.3">
      <c r="M328" s="6" t="str">
        <f t="shared" si="30"/>
        <v/>
      </c>
      <c r="N328" s="6" t="str">
        <f t="shared" si="31"/>
        <v/>
      </c>
      <c r="O328" s="6" t="str">
        <f t="shared" si="32"/>
        <v/>
      </c>
      <c r="P328" s="6" t="str">
        <f t="shared" si="33"/>
        <v/>
      </c>
      <c r="Q328" s="6" t="str">
        <f t="shared" si="34"/>
        <v/>
      </c>
    </row>
    <row r="329" spans="13:17" x14ac:dyDescent="0.3">
      <c r="M329" s="6" t="str">
        <f t="shared" si="30"/>
        <v/>
      </c>
      <c r="N329" s="6" t="str">
        <f t="shared" si="31"/>
        <v/>
      </c>
      <c r="O329" s="6" t="str">
        <f t="shared" si="32"/>
        <v/>
      </c>
      <c r="P329" s="6" t="str">
        <f t="shared" si="33"/>
        <v/>
      </c>
      <c r="Q329" s="6" t="str">
        <f t="shared" si="34"/>
        <v/>
      </c>
    </row>
    <row r="330" spans="13:17" x14ac:dyDescent="0.3">
      <c r="M330" s="6" t="str">
        <f t="shared" si="30"/>
        <v/>
      </c>
      <c r="N330" s="6" t="str">
        <f t="shared" si="31"/>
        <v/>
      </c>
      <c r="O330" s="6" t="str">
        <f t="shared" si="32"/>
        <v/>
      </c>
      <c r="P330" s="6" t="str">
        <f t="shared" si="33"/>
        <v/>
      </c>
      <c r="Q330" s="6" t="str">
        <f t="shared" si="34"/>
        <v/>
      </c>
    </row>
    <row r="331" spans="13:17" x14ac:dyDescent="0.3">
      <c r="M331" s="6" t="str">
        <f t="shared" si="30"/>
        <v/>
      </c>
      <c r="N331" s="6" t="str">
        <f t="shared" si="31"/>
        <v/>
      </c>
      <c r="O331" s="6" t="str">
        <f t="shared" si="32"/>
        <v/>
      </c>
      <c r="P331" s="6" t="str">
        <f t="shared" si="33"/>
        <v/>
      </c>
      <c r="Q331" s="6" t="str">
        <f t="shared" si="34"/>
        <v/>
      </c>
    </row>
    <row r="332" spans="13:17" x14ac:dyDescent="0.3">
      <c r="M332" s="6" t="str">
        <f t="shared" ref="M332:M380" si="35">IF(OR(I332="",F332=""),"",IF(OR(I332&lt;=0,F332&lt;=0),"",0.95*((I332^3)/F332)^0.385))</f>
        <v/>
      </c>
      <c r="N332" s="6" t="str">
        <f t="shared" ref="N332:N380" si="36">IF(OR(B332="",I332="",G332="",D332=""),"",IF(OR(B332&lt;=0,I332&lt;=0,G332&lt;=D332),"",(4*SQRT(B332)+1.5*I332)/(0.8*SQRT(G332-D332))))</f>
        <v/>
      </c>
      <c r="O332" s="6" t="str">
        <f t="shared" ref="O332:O380" si="37">IF(OR(I332="",C332="",H332=""),"",IF(OR(I332&lt;=0,H332&lt;=0,C332&lt;=0,C332&gt;100),"",((100*((I332*1000/0.3048)^0.8)*(((1000/C332)-9)^0.7))/(1900*SQRT(H332*100)))/60))</f>
        <v/>
      </c>
      <c r="P332" s="6" t="str">
        <f t="shared" ref="P332:P380" si="38">IF(OR(I332="",H332=""),"",IF(OR(I332&lt;=0,H332&lt;=0),"",(18*(I332^0.76)/(H332^0.19))/60))</f>
        <v/>
      </c>
      <c r="Q332" s="6" t="str">
        <f t="shared" ref="Q332:Q380" si="39">IF(OR(I332="",K332=""),"",IF(OR(I332&lt;=0,K332&lt;=0),"",I332/(3.6*K332)))</f>
        <v/>
      </c>
    </row>
    <row r="333" spans="13:17" x14ac:dyDescent="0.3">
      <c r="M333" s="6" t="str">
        <f t="shared" si="35"/>
        <v/>
      </c>
      <c r="N333" s="6" t="str">
        <f t="shared" si="36"/>
        <v/>
      </c>
      <c r="O333" s="6" t="str">
        <f t="shared" si="37"/>
        <v/>
      </c>
      <c r="P333" s="6" t="str">
        <f t="shared" si="38"/>
        <v/>
      </c>
      <c r="Q333" s="6" t="str">
        <f t="shared" si="39"/>
        <v/>
      </c>
    </row>
    <row r="334" spans="13:17" x14ac:dyDescent="0.3">
      <c r="M334" s="6" t="str">
        <f t="shared" si="35"/>
        <v/>
      </c>
      <c r="N334" s="6" t="str">
        <f t="shared" si="36"/>
        <v/>
      </c>
      <c r="O334" s="6" t="str">
        <f t="shared" si="37"/>
        <v/>
      </c>
      <c r="P334" s="6" t="str">
        <f t="shared" si="38"/>
        <v/>
      </c>
      <c r="Q334" s="6" t="str">
        <f t="shared" si="39"/>
        <v/>
      </c>
    </row>
    <row r="335" spans="13:17" x14ac:dyDescent="0.3">
      <c r="M335" s="6" t="str">
        <f t="shared" si="35"/>
        <v/>
      </c>
      <c r="N335" s="6" t="str">
        <f t="shared" si="36"/>
        <v/>
      </c>
      <c r="O335" s="6" t="str">
        <f t="shared" si="37"/>
        <v/>
      </c>
      <c r="P335" s="6" t="str">
        <f t="shared" si="38"/>
        <v/>
      </c>
      <c r="Q335" s="6" t="str">
        <f t="shared" si="39"/>
        <v/>
      </c>
    </row>
    <row r="336" spans="13:17" x14ac:dyDescent="0.3">
      <c r="M336" s="6" t="str">
        <f t="shared" si="35"/>
        <v/>
      </c>
      <c r="N336" s="6" t="str">
        <f t="shared" si="36"/>
        <v/>
      </c>
      <c r="O336" s="6" t="str">
        <f t="shared" si="37"/>
        <v/>
      </c>
      <c r="P336" s="6" t="str">
        <f t="shared" si="38"/>
        <v/>
      </c>
      <c r="Q336" s="6" t="str">
        <f t="shared" si="39"/>
        <v/>
      </c>
    </row>
    <row r="337" spans="13:17" x14ac:dyDescent="0.3">
      <c r="M337" s="6" t="str">
        <f t="shared" si="35"/>
        <v/>
      </c>
      <c r="N337" s="6" t="str">
        <f t="shared" si="36"/>
        <v/>
      </c>
      <c r="O337" s="6" t="str">
        <f t="shared" si="37"/>
        <v/>
      </c>
      <c r="P337" s="6" t="str">
        <f t="shared" si="38"/>
        <v/>
      </c>
      <c r="Q337" s="6" t="str">
        <f t="shared" si="39"/>
        <v/>
      </c>
    </row>
    <row r="338" spans="13:17" x14ac:dyDescent="0.3">
      <c r="M338" s="6" t="str">
        <f t="shared" si="35"/>
        <v/>
      </c>
      <c r="N338" s="6" t="str">
        <f t="shared" si="36"/>
        <v/>
      </c>
      <c r="O338" s="6" t="str">
        <f t="shared" si="37"/>
        <v/>
      </c>
      <c r="P338" s="6" t="str">
        <f t="shared" si="38"/>
        <v/>
      </c>
      <c r="Q338" s="6" t="str">
        <f t="shared" si="39"/>
        <v/>
      </c>
    </row>
    <row r="339" spans="13:17" x14ac:dyDescent="0.3">
      <c r="M339" s="6" t="str">
        <f t="shared" si="35"/>
        <v/>
      </c>
      <c r="N339" s="6" t="str">
        <f t="shared" si="36"/>
        <v/>
      </c>
      <c r="O339" s="6" t="str">
        <f t="shared" si="37"/>
        <v/>
      </c>
      <c r="P339" s="6" t="str">
        <f t="shared" si="38"/>
        <v/>
      </c>
      <c r="Q339" s="6" t="str">
        <f t="shared" si="39"/>
        <v/>
      </c>
    </row>
    <row r="340" spans="13:17" x14ac:dyDescent="0.3">
      <c r="M340" s="6" t="str">
        <f t="shared" si="35"/>
        <v/>
      </c>
      <c r="N340" s="6" t="str">
        <f t="shared" si="36"/>
        <v/>
      </c>
      <c r="O340" s="6" t="str">
        <f t="shared" si="37"/>
        <v/>
      </c>
      <c r="P340" s="6" t="str">
        <f t="shared" si="38"/>
        <v/>
      </c>
      <c r="Q340" s="6" t="str">
        <f t="shared" si="39"/>
        <v/>
      </c>
    </row>
    <row r="341" spans="13:17" x14ac:dyDescent="0.3">
      <c r="M341" s="6" t="str">
        <f t="shared" si="35"/>
        <v/>
      </c>
      <c r="N341" s="6" t="str">
        <f t="shared" si="36"/>
        <v/>
      </c>
      <c r="O341" s="6" t="str">
        <f t="shared" si="37"/>
        <v/>
      </c>
      <c r="P341" s="6" t="str">
        <f t="shared" si="38"/>
        <v/>
      </c>
      <c r="Q341" s="6" t="str">
        <f t="shared" si="39"/>
        <v/>
      </c>
    </row>
    <row r="342" spans="13:17" x14ac:dyDescent="0.3">
      <c r="M342" s="6" t="str">
        <f t="shared" si="35"/>
        <v/>
      </c>
      <c r="N342" s="6" t="str">
        <f t="shared" si="36"/>
        <v/>
      </c>
      <c r="O342" s="6" t="str">
        <f t="shared" si="37"/>
        <v/>
      </c>
      <c r="P342" s="6" t="str">
        <f t="shared" si="38"/>
        <v/>
      </c>
      <c r="Q342" s="6" t="str">
        <f t="shared" si="39"/>
        <v/>
      </c>
    </row>
    <row r="343" spans="13:17" x14ac:dyDescent="0.3">
      <c r="M343" s="6" t="str">
        <f t="shared" si="35"/>
        <v/>
      </c>
      <c r="N343" s="6" t="str">
        <f t="shared" si="36"/>
        <v/>
      </c>
      <c r="O343" s="6" t="str">
        <f t="shared" si="37"/>
        <v/>
      </c>
      <c r="P343" s="6" t="str">
        <f t="shared" si="38"/>
        <v/>
      </c>
      <c r="Q343" s="6" t="str">
        <f t="shared" si="39"/>
        <v/>
      </c>
    </row>
    <row r="344" spans="13:17" x14ac:dyDescent="0.3">
      <c r="M344" s="6" t="str">
        <f t="shared" si="35"/>
        <v/>
      </c>
      <c r="N344" s="6" t="str">
        <f t="shared" si="36"/>
        <v/>
      </c>
      <c r="O344" s="6" t="str">
        <f t="shared" si="37"/>
        <v/>
      </c>
      <c r="P344" s="6" t="str">
        <f t="shared" si="38"/>
        <v/>
      </c>
      <c r="Q344" s="6" t="str">
        <f t="shared" si="39"/>
        <v/>
      </c>
    </row>
    <row r="345" spans="13:17" x14ac:dyDescent="0.3">
      <c r="M345" s="6" t="str">
        <f t="shared" si="35"/>
        <v/>
      </c>
      <c r="N345" s="6" t="str">
        <f t="shared" si="36"/>
        <v/>
      </c>
      <c r="O345" s="6" t="str">
        <f t="shared" si="37"/>
        <v/>
      </c>
      <c r="P345" s="6" t="str">
        <f t="shared" si="38"/>
        <v/>
      </c>
      <c r="Q345" s="6" t="str">
        <f t="shared" si="39"/>
        <v/>
      </c>
    </row>
    <row r="346" spans="13:17" x14ac:dyDescent="0.3">
      <c r="M346" s="6" t="str">
        <f t="shared" si="35"/>
        <v/>
      </c>
      <c r="N346" s="6" t="str">
        <f t="shared" si="36"/>
        <v/>
      </c>
      <c r="O346" s="6" t="str">
        <f t="shared" si="37"/>
        <v/>
      </c>
      <c r="P346" s="6" t="str">
        <f t="shared" si="38"/>
        <v/>
      </c>
      <c r="Q346" s="6" t="str">
        <f t="shared" si="39"/>
        <v/>
      </c>
    </row>
    <row r="347" spans="13:17" x14ac:dyDescent="0.3">
      <c r="M347" s="6" t="str">
        <f t="shared" si="35"/>
        <v/>
      </c>
      <c r="N347" s="6" t="str">
        <f t="shared" si="36"/>
        <v/>
      </c>
      <c r="O347" s="6" t="str">
        <f t="shared" si="37"/>
        <v/>
      </c>
      <c r="P347" s="6" t="str">
        <f t="shared" si="38"/>
        <v/>
      </c>
      <c r="Q347" s="6" t="str">
        <f t="shared" si="39"/>
        <v/>
      </c>
    </row>
    <row r="348" spans="13:17" x14ac:dyDescent="0.3">
      <c r="M348" s="6" t="str">
        <f t="shared" si="35"/>
        <v/>
      </c>
      <c r="N348" s="6" t="str">
        <f t="shared" si="36"/>
        <v/>
      </c>
      <c r="O348" s="6" t="str">
        <f t="shared" si="37"/>
        <v/>
      </c>
      <c r="P348" s="6" t="str">
        <f t="shared" si="38"/>
        <v/>
      </c>
      <c r="Q348" s="6" t="str">
        <f t="shared" si="39"/>
        <v/>
      </c>
    </row>
    <row r="349" spans="13:17" x14ac:dyDescent="0.3">
      <c r="M349" s="6" t="str">
        <f t="shared" si="35"/>
        <v/>
      </c>
      <c r="N349" s="6" t="str">
        <f t="shared" si="36"/>
        <v/>
      </c>
      <c r="O349" s="6" t="str">
        <f t="shared" si="37"/>
        <v/>
      </c>
      <c r="P349" s="6" t="str">
        <f t="shared" si="38"/>
        <v/>
      </c>
      <c r="Q349" s="6" t="str">
        <f t="shared" si="39"/>
        <v/>
      </c>
    </row>
    <row r="350" spans="13:17" x14ac:dyDescent="0.3">
      <c r="M350" s="6" t="str">
        <f t="shared" si="35"/>
        <v/>
      </c>
      <c r="N350" s="6" t="str">
        <f t="shared" si="36"/>
        <v/>
      </c>
      <c r="O350" s="6" t="str">
        <f t="shared" si="37"/>
        <v/>
      </c>
      <c r="P350" s="6" t="str">
        <f t="shared" si="38"/>
        <v/>
      </c>
      <c r="Q350" s="6" t="str">
        <f t="shared" si="39"/>
        <v/>
      </c>
    </row>
    <row r="351" spans="13:17" x14ac:dyDescent="0.3">
      <c r="M351" s="6" t="str">
        <f t="shared" si="35"/>
        <v/>
      </c>
      <c r="N351" s="6" t="str">
        <f t="shared" si="36"/>
        <v/>
      </c>
      <c r="O351" s="6" t="str">
        <f t="shared" si="37"/>
        <v/>
      </c>
      <c r="P351" s="6" t="str">
        <f t="shared" si="38"/>
        <v/>
      </c>
      <c r="Q351" s="6" t="str">
        <f t="shared" si="39"/>
        <v/>
      </c>
    </row>
    <row r="352" spans="13:17" x14ac:dyDescent="0.3">
      <c r="M352" s="6" t="str">
        <f t="shared" si="35"/>
        <v/>
      </c>
      <c r="N352" s="6" t="str">
        <f t="shared" si="36"/>
        <v/>
      </c>
      <c r="O352" s="6" t="str">
        <f t="shared" si="37"/>
        <v/>
      </c>
      <c r="P352" s="6" t="str">
        <f t="shared" si="38"/>
        <v/>
      </c>
      <c r="Q352" s="6" t="str">
        <f t="shared" si="39"/>
        <v/>
      </c>
    </row>
    <row r="353" spans="13:17" x14ac:dyDescent="0.3">
      <c r="M353" s="6" t="str">
        <f t="shared" si="35"/>
        <v/>
      </c>
      <c r="N353" s="6" t="str">
        <f t="shared" si="36"/>
        <v/>
      </c>
      <c r="O353" s="6" t="str">
        <f t="shared" si="37"/>
        <v/>
      </c>
      <c r="P353" s="6" t="str">
        <f t="shared" si="38"/>
        <v/>
      </c>
      <c r="Q353" s="6" t="str">
        <f t="shared" si="39"/>
        <v/>
      </c>
    </row>
    <row r="354" spans="13:17" x14ac:dyDescent="0.3">
      <c r="M354" s="6" t="str">
        <f t="shared" si="35"/>
        <v/>
      </c>
      <c r="N354" s="6" t="str">
        <f t="shared" si="36"/>
        <v/>
      </c>
      <c r="O354" s="6" t="str">
        <f t="shared" si="37"/>
        <v/>
      </c>
      <c r="P354" s="6" t="str">
        <f t="shared" si="38"/>
        <v/>
      </c>
      <c r="Q354" s="6" t="str">
        <f t="shared" si="39"/>
        <v/>
      </c>
    </row>
    <row r="355" spans="13:17" x14ac:dyDescent="0.3">
      <c r="M355" s="6" t="str">
        <f t="shared" si="35"/>
        <v/>
      </c>
      <c r="N355" s="6" t="str">
        <f t="shared" si="36"/>
        <v/>
      </c>
      <c r="O355" s="6" t="str">
        <f t="shared" si="37"/>
        <v/>
      </c>
      <c r="P355" s="6" t="str">
        <f t="shared" si="38"/>
        <v/>
      </c>
      <c r="Q355" s="6" t="str">
        <f t="shared" si="39"/>
        <v/>
      </c>
    </row>
    <row r="356" spans="13:17" x14ac:dyDescent="0.3">
      <c r="M356" s="6" t="str">
        <f t="shared" si="35"/>
        <v/>
      </c>
      <c r="N356" s="6" t="str">
        <f t="shared" si="36"/>
        <v/>
      </c>
      <c r="O356" s="6" t="str">
        <f t="shared" si="37"/>
        <v/>
      </c>
      <c r="P356" s="6" t="str">
        <f t="shared" si="38"/>
        <v/>
      </c>
      <c r="Q356" s="6" t="str">
        <f t="shared" si="39"/>
        <v/>
      </c>
    </row>
    <row r="357" spans="13:17" x14ac:dyDescent="0.3">
      <c r="M357" s="6" t="str">
        <f t="shared" si="35"/>
        <v/>
      </c>
      <c r="N357" s="6" t="str">
        <f t="shared" si="36"/>
        <v/>
      </c>
      <c r="O357" s="6" t="str">
        <f t="shared" si="37"/>
        <v/>
      </c>
      <c r="P357" s="6" t="str">
        <f t="shared" si="38"/>
        <v/>
      </c>
      <c r="Q357" s="6" t="str">
        <f t="shared" si="39"/>
        <v/>
      </c>
    </row>
    <row r="358" spans="13:17" x14ac:dyDescent="0.3">
      <c r="M358" s="6" t="str">
        <f t="shared" si="35"/>
        <v/>
      </c>
      <c r="N358" s="6" t="str">
        <f t="shared" si="36"/>
        <v/>
      </c>
      <c r="O358" s="6" t="str">
        <f t="shared" si="37"/>
        <v/>
      </c>
      <c r="P358" s="6" t="str">
        <f t="shared" si="38"/>
        <v/>
      </c>
      <c r="Q358" s="6" t="str">
        <f t="shared" si="39"/>
        <v/>
      </c>
    </row>
    <row r="359" spans="13:17" x14ac:dyDescent="0.3">
      <c r="M359" s="6" t="str">
        <f t="shared" si="35"/>
        <v/>
      </c>
      <c r="N359" s="6" t="str">
        <f t="shared" si="36"/>
        <v/>
      </c>
      <c r="O359" s="6" t="str">
        <f t="shared" si="37"/>
        <v/>
      </c>
      <c r="P359" s="6" t="str">
        <f t="shared" si="38"/>
        <v/>
      </c>
      <c r="Q359" s="6" t="str">
        <f t="shared" si="39"/>
        <v/>
      </c>
    </row>
    <row r="360" spans="13:17" x14ac:dyDescent="0.3">
      <c r="M360" s="6" t="str">
        <f t="shared" si="35"/>
        <v/>
      </c>
      <c r="N360" s="6" t="str">
        <f t="shared" si="36"/>
        <v/>
      </c>
      <c r="O360" s="6" t="str">
        <f t="shared" si="37"/>
        <v/>
      </c>
      <c r="P360" s="6" t="str">
        <f t="shared" si="38"/>
        <v/>
      </c>
      <c r="Q360" s="6" t="str">
        <f t="shared" si="39"/>
        <v/>
      </c>
    </row>
    <row r="361" spans="13:17" x14ac:dyDescent="0.3">
      <c r="M361" s="6" t="str">
        <f t="shared" si="35"/>
        <v/>
      </c>
      <c r="N361" s="6" t="str">
        <f t="shared" si="36"/>
        <v/>
      </c>
      <c r="O361" s="6" t="str">
        <f t="shared" si="37"/>
        <v/>
      </c>
      <c r="P361" s="6" t="str">
        <f t="shared" si="38"/>
        <v/>
      </c>
      <c r="Q361" s="6" t="str">
        <f t="shared" si="39"/>
        <v/>
      </c>
    </row>
    <row r="362" spans="13:17" x14ac:dyDescent="0.3">
      <c r="M362" s="6" t="str">
        <f t="shared" si="35"/>
        <v/>
      </c>
      <c r="N362" s="6" t="str">
        <f t="shared" si="36"/>
        <v/>
      </c>
      <c r="O362" s="6" t="str">
        <f t="shared" si="37"/>
        <v/>
      </c>
      <c r="P362" s="6" t="str">
        <f t="shared" si="38"/>
        <v/>
      </c>
      <c r="Q362" s="6" t="str">
        <f t="shared" si="39"/>
        <v/>
      </c>
    </row>
    <row r="363" spans="13:17" x14ac:dyDescent="0.3">
      <c r="M363" s="6" t="str">
        <f t="shared" si="35"/>
        <v/>
      </c>
      <c r="N363" s="6" t="str">
        <f t="shared" si="36"/>
        <v/>
      </c>
      <c r="O363" s="6" t="str">
        <f t="shared" si="37"/>
        <v/>
      </c>
      <c r="P363" s="6" t="str">
        <f t="shared" si="38"/>
        <v/>
      </c>
      <c r="Q363" s="6" t="str">
        <f t="shared" si="39"/>
        <v/>
      </c>
    </row>
    <row r="364" spans="13:17" x14ac:dyDescent="0.3">
      <c r="M364" s="6" t="str">
        <f t="shared" si="35"/>
        <v/>
      </c>
      <c r="N364" s="6" t="str">
        <f t="shared" si="36"/>
        <v/>
      </c>
      <c r="O364" s="6" t="str">
        <f t="shared" si="37"/>
        <v/>
      </c>
      <c r="P364" s="6" t="str">
        <f t="shared" si="38"/>
        <v/>
      </c>
      <c r="Q364" s="6" t="str">
        <f t="shared" si="39"/>
        <v/>
      </c>
    </row>
    <row r="365" spans="13:17" x14ac:dyDescent="0.3">
      <c r="M365" s="6" t="str">
        <f t="shared" si="35"/>
        <v/>
      </c>
      <c r="N365" s="6" t="str">
        <f t="shared" si="36"/>
        <v/>
      </c>
      <c r="O365" s="6" t="str">
        <f t="shared" si="37"/>
        <v/>
      </c>
      <c r="P365" s="6" t="str">
        <f t="shared" si="38"/>
        <v/>
      </c>
      <c r="Q365" s="6" t="str">
        <f t="shared" si="39"/>
        <v/>
      </c>
    </row>
    <row r="366" spans="13:17" x14ac:dyDescent="0.3">
      <c r="M366" s="6" t="str">
        <f t="shared" si="35"/>
        <v/>
      </c>
      <c r="N366" s="6" t="str">
        <f t="shared" si="36"/>
        <v/>
      </c>
      <c r="O366" s="6" t="str">
        <f t="shared" si="37"/>
        <v/>
      </c>
      <c r="P366" s="6" t="str">
        <f t="shared" si="38"/>
        <v/>
      </c>
      <c r="Q366" s="6" t="str">
        <f t="shared" si="39"/>
        <v/>
      </c>
    </row>
    <row r="367" spans="13:17" x14ac:dyDescent="0.3">
      <c r="M367" s="6" t="str">
        <f t="shared" si="35"/>
        <v/>
      </c>
      <c r="N367" s="6" t="str">
        <f t="shared" si="36"/>
        <v/>
      </c>
      <c r="O367" s="6" t="str">
        <f t="shared" si="37"/>
        <v/>
      </c>
      <c r="P367" s="6" t="str">
        <f t="shared" si="38"/>
        <v/>
      </c>
      <c r="Q367" s="6" t="str">
        <f t="shared" si="39"/>
        <v/>
      </c>
    </row>
    <row r="368" spans="13:17" x14ac:dyDescent="0.3">
      <c r="M368" s="6" t="str">
        <f t="shared" si="35"/>
        <v/>
      </c>
      <c r="N368" s="6" t="str">
        <f t="shared" si="36"/>
        <v/>
      </c>
      <c r="O368" s="6" t="str">
        <f t="shared" si="37"/>
        <v/>
      </c>
      <c r="P368" s="6" t="str">
        <f t="shared" si="38"/>
        <v/>
      </c>
      <c r="Q368" s="6" t="str">
        <f t="shared" si="39"/>
        <v/>
      </c>
    </row>
    <row r="369" spans="13:17" x14ac:dyDescent="0.3">
      <c r="M369" s="6" t="str">
        <f t="shared" si="35"/>
        <v/>
      </c>
      <c r="N369" s="6" t="str">
        <f t="shared" si="36"/>
        <v/>
      </c>
      <c r="O369" s="6" t="str">
        <f t="shared" si="37"/>
        <v/>
      </c>
      <c r="P369" s="6" t="str">
        <f t="shared" si="38"/>
        <v/>
      </c>
      <c r="Q369" s="6" t="str">
        <f t="shared" si="39"/>
        <v/>
      </c>
    </row>
    <row r="370" spans="13:17" x14ac:dyDescent="0.3">
      <c r="M370" s="6" t="str">
        <f t="shared" si="35"/>
        <v/>
      </c>
      <c r="N370" s="6" t="str">
        <f t="shared" si="36"/>
        <v/>
      </c>
      <c r="O370" s="6" t="str">
        <f t="shared" si="37"/>
        <v/>
      </c>
      <c r="P370" s="6" t="str">
        <f t="shared" si="38"/>
        <v/>
      </c>
      <c r="Q370" s="6" t="str">
        <f t="shared" si="39"/>
        <v/>
      </c>
    </row>
    <row r="371" spans="13:17" x14ac:dyDescent="0.3">
      <c r="M371" s="6" t="str">
        <f t="shared" si="35"/>
        <v/>
      </c>
      <c r="N371" s="6" t="str">
        <f t="shared" si="36"/>
        <v/>
      </c>
      <c r="O371" s="6" t="str">
        <f t="shared" si="37"/>
        <v/>
      </c>
      <c r="P371" s="6" t="str">
        <f t="shared" si="38"/>
        <v/>
      </c>
      <c r="Q371" s="6" t="str">
        <f t="shared" si="39"/>
        <v/>
      </c>
    </row>
    <row r="372" spans="13:17" x14ac:dyDescent="0.3">
      <c r="M372" s="6" t="str">
        <f t="shared" si="35"/>
        <v/>
      </c>
      <c r="N372" s="6" t="str">
        <f t="shared" si="36"/>
        <v/>
      </c>
      <c r="O372" s="6" t="str">
        <f t="shared" si="37"/>
        <v/>
      </c>
      <c r="P372" s="6" t="str">
        <f t="shared" si="38"/>
        <v/>
      </c>
      <c r="Q372" s="6" t="str">
        <f t="shared" si="39"/>
        <v/>
      </c>
    </row>
    <row r="373" spans="13:17" x14ac:dyDescent="0.3">
      <c r="M373" s="6" t="str">
        <f t="shared" si="35"/>
        <v/>
      </c>
      <c r="N373" s="6" t="str">
        <f t="shared" si="36"/>
        <v/>
      </c>
      <c r="O373" s="6" t="str">
        <f t="shared" si="37"/>
        <v/>
      </c>
      <c r="P373" s="6" t="str">
        <f t="shared" si="38"/>
        <v/>
      </c>
      <c r="Q373" s="6" t="str">
        <f t="shared" si="39"/>
        <v/>
      </c>
    </row>
    <row r="374" spans="13:17" x14ac:dyDescent="0.3">
      <c r="M374" s="6" t="str">
        <f t="shared" si="35"/>
        <v/>
      </c>
      <c r="N374" s="6" t="str">
        <f t="shared" si="36"/>
        <v/>
      </c>
      <c r="O374" s="6" t="str">
        <f t="shared" si="37"/>
        <v/>
      </c>
      <c r="P374" s="6" t="str">
        <f t="shared" si="38"/>
        <v/>
      </c>
      <c r="Q374" s="6" t="str">
        <f t="shared" si="39"/>
        <v/>
      </c>
    </row>
    <row r="375" spans="13:17" x14ac:dyDescent="0.3">
      <c r="M375" s="6" t="str">
        <f t="shared" si="35"/>
        <v/>
      </c>
      <c r="N375" s="6" t="str">
        <f t="shared" si="36"/>
        <v/>
      </c>
      <c r="O375" s="6" t="str">
        <f t="shared" si="37"/>
        <v/>
      </c>
      <c r="P375" s="6" t="str">
        <f t="shared" si="38"/>
        <v/>
      </c>
      <c r="Q375" s="6" t="str">
        <f t="shared" si="39"/>
        <v/>
      </c>
    </row>
    <row r="376" spans="13:17" x14ac:dyDescent="0.3">
      <c r="M376" s="6" t="str">
        <f t="shared" si="35"/>
        <v/>
      </c>
      <c r="N376" s="6" t="str">
        <f t="shared" si="36"/>
        <v/>
      </c>
      <c r="O376" s="6" t="str">
        <f t="shared" si="37"/>
        <v/>
      </c>
      <c r="P376" s="6" t="str">
        <f t="shared" si="38"/>
        <v/>
      </c>
      <c r="Q376" s="6" t="str">
        <f t="shared" si="39"/>
        <v/>
      </c>
    </row>
    <row r="377" spans="13:17" x14ac:dyDescent="0.3">
      <c r="M377" s="6" t="str">
        <f t="shared" si="35"/>
        <v/>
      </c>
      <c r="N377" s="6" t="str">
        <f t="shared" si="36"/>
        <v/>
      </c>
      <c r="O377" s="6" t="str">
        <f t="shared" si="37"/>
        <v/>
      </c>
      <c r="P377" s="6" t="str">
        <f t="shared" si="38"/>
        <v/>
      </c>
      <c r="Q377" s="6" t="str">
        <f t="shared" si="39"/>
        <v/>
      </c>
    </row>
    <row r="378" spans="13:17" x14ac:dyDescent="0.3">
      <c r="M378" s="6" t="str">
        <f t="shared" si="35"/>
        <v/>
      </c>
      <c r="N378" s="6" t="str">
        <f t="shared" si="36"/>
        <v/>
      </c>
      <c r="O378" s="6" t="str">
        <f t="shared" si="37"/>
        <v/>
      </c>
      <c r="P378" s="6" t="str">
        <f t="shared" si="38"/>
        <v/>
      </c>
      <c r="Q378" s="6" t="str">
        <f t="shared" si="39"/>
        <v/>
      </c>
    </row>
    <row r="379" spans="13:17" x14ac:dyDescent="0.3">
      <c r="M379" s="6" t="str">
        <f t="shared" si="35"/>
        <v/>
      </c>
      <c r="N379" s="6" t="str">
        <f t="shared" si="36"/>
        <v/>
      </c>
      <c r="O379" s="6" t="str">
        <f t="shared" si="37"/>
        <v/>
      </c>
      <c r="P379" s="6" t="str">
        <f t="shared" si="38"/>
        <v/>
      </c>
      <c r="Q379" s="6" t="str">
        <f t="shared" si="39"/>
        <v/>
      </c>
    </row>
    <row r="380" spans="13:17" x14ac:dyDescent="0.3">
      <c r="M380" s="6" t="str">
        <f t="shared" si="35"/>
        <v/>
      </c>
      <c r="N380" s="6" t="str">
        <f t="shared" si="36"/>
        <v/>
      </c>
      <c r="O380" s="6" t="str">
        <f t="shared" si="37"/>
        <v/>
      </c>
      <c r="P380" s="6" t="str">
        <f t="shared" si="38"/>
        <v/>
      </c>
      <c r="Q380" s="6" t="str">
        <f t="shared" si="39"/>
        <v/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8635-56AF-4151-A8F0-4CF2F4B95CB7}">
  <sheetPr codeName="Sheet2"/>
  <dimension ref="A1:K100"/>
  <sheetViews>
    <sheetView workbookViewId="0">
      <selection activeCell="E10" sqref="E10"/>
    </sheetView>
  </sheetViews>
  <sheetFormatPr defaultRowHeight="14.4" x14ac:dyDescent="0.3"/>
  <cols>
    <col min="1" max="1" width="14.6640625" customWidth="1"/>
    <col min="2" max="8" width="12.6640625" customWidth="1"/>
    <col min="15" max="15" width="10" bestFit="1" customWidth="1"/>
    <col min="18" max="18" width="11" bestFit="1" customWidth="1"/>
  </cols>
  <sheetData>
    <row r="1" spans="1:11" ht="55.2" customHeight="1" x14ac:dyDescent="0.3">
      <c r="A1" s="7" t="s">
        <v>0</v>
      </c>
      <c r="B1" s="8" t="s">
        <v>1</v>
      </c>
      <c r="C1" s="8" t="s">
        <v>41</v>
      </c>
      <c r="D1" s="8" t="s">
        <v>19</v>
      </c>
      <c r="E1" s="8" t="s">
        <v>20</v>
      </c>
      <c r="F1" s="2" t="s">
        <v>21</v>
      </c>
      <c r="G1" s="2" t="s">
        <v>22</v>
      </c>
      <c r="H1" s="2" t="s">
        <v>23</v>
      </c>
    </row>
    <row r="2" spans="1:11" x14ac:dyDescent="0.3">
      <c r="A2" t="str">
        <f>IF(ISBLANK('Info Cuencas'!A2),"",'Info Cuencas'!A2)</f>
        <v>C_01_CL</v>
      </c>
      <c r="B2" s="4">
        <f>IF(A2="","",'Info Cuencas'!B2)</f>
        <v>117.271</v>
      </c>
      <c r="C2" s="4">
        <f>IF(A2="","",'Info Cuencas'!C2)</f>
        <v>75</v>
      </c>
      <c r="D2" s="6">
        <f>IF(A2="","",0.133*'Info Cuencas'!R2)</f>
        <v>0.76073282726013913</v>
      </c>
      <c r="E2" s="11">
        <v>0.05</v>
      </c>
      <c r="F2" s="6">
        <f>IF(A2="","",0.6*'Info Cuencas'!R2+HUS!E2/2)</f>
        <v>3.4568774162111535</v>
      </c>
      <c r="G2" s="6">
        <f>IF(A2="","",5*F2)</f>
        <v>17.284387081055769</v>
      </c>
      <c r="H2" s="6">
        <f>IF(A2="","",0.208*'Info Cuencas'!B2/HUS!F2)</f>
        <v>7.0561854133476336</v>
      </c>
      <c r="I2" s="6"/>
      <c r="K2" s="5"/>
    </row>
    <row r="3" spans="1:11" x14ac:dyDescent="0.3">
      <c r="A3" t="str">
        <f>IF(ISBLANK('Info Cuencas'!A3),"",'Info Cuencas'!A3)</f>
        <v>C_02_CL</v>
      </c>
      <c r="B3" s="4">
        <f>IF(A3="","",'Info Cuencas'!B3)</f>
        <v>447.74</v>
      </c>
      <c r="C3" s="4">
        <f>IF(A3="","",'Info Cuencas'!C3)</f>
        <v>75</v>
      </c>
      <c r="D3" s="6">
        <f>IF(A3="","",0.133*'Info Cuencas'!R3)</f>
        <v>1.0943707430089464</v>
      </c>
      <c r="E3" s="11">
        <v>0.05</v>
      </c>
      <c r="F3" s="6">
        <f>IF(A3="","",0.6*'Info Cuencas'!R3+HUS!E3/2)</f>
        <v>4.9620108707170507</v>
      </c>
      <c r="G3" s="6">
        <f>IF(A3="","",5*F3)</f>
        <v>24.810054353585254</v>
      </c>
      <c r="H3" s="6">
        <f>IF(A3="","",0.208*'Info Cuencas'!B3/HUS!F3)</f>
        <v>18.768584436120346</v>
      </c>
      <c r="I3" s="6"/>
    </row>
    <row r="4" spans="1:11" x14ac:dyDescent="0.3">
      <c r="A4" t="str">
        <f>IF(ISBLANK('Info Cuencas'!A4),"",'Info Cuencas'!A4)</f>
        <v/>
      </c>
      <c r="B4" s="4" t="str">
        <f>IF(A4="","",'Info Cuencas'!B4)</f>
        <v/>
      </c>
      <c r="C4" s="4" t="str">
        <f>IF(A4="","",'Info Cuencas'!C4)</f>
        <v/>
      </c>
      <c r="D4" s="6" t="str">
        <f>IF(A4="","",0.133*'Info Cuencas'!R4)</f>
        <v/>
      </c>
      <c r="E4" s="9"/>
      <c r="F4" s="6" t="str">
        <f>IF(A4="","",0.6*'Info Cuencas'!R4+HUS!E4/2)</f>
        <v/>
      </c>
      <c r="G4" s="6" t="str">
        <f t="shared" ref="G4" si="0">IF(A4="","",5*F4)</f>
        <v/>
      </c>
      <c r="H4" s="6" t="str">
        <f>IF(A4="","",0.208*'Info Cuencas'!B4/HUS!F4)</f>
        <v/>
      </c>
      <c r="I4" s="6"/>
    </row>
    <row r="5" spans="1:11" x14ac:dyDescent="0.3">
      <c r="A5" t="str">
        <f>IF(ISBLANK('Info Cuencas'!A5),"",'Info Cuencas'!A5)</f>
        <v/>
      </c>
      <c r="B5" s="4" t="str">
        <f>IF(A5="","",'Info Cuencas'!B5)</f>
        <v/>
      </c>
      <c r="C5" s="4" t="str">
        <f>IF(A5="","",'Info Cuencas'!C5)</f>
        <v/>
      </c>
      <c r="D5" s="6" t="str">
        <f>IF(A5="","",0.133*'Info Cuencas'!R5)</f>
        <v/>
      </c>
      <c r="E5" s="9"/>
      <c r="F5" s="6" t="str">
        <f>IF(A5="","",0.6*'Info Cuencas'!R5+HUS!E5/2)</f>
        <v/>
      </c>
      <c r="G5" s="6" t="str">
        <f>IF(A5="","",5*F5)</f>
        <v/>
      </c>
      <c r="H5" s="6" t="str">
        <f>IF(A5="","",0.208*'Info Cuencas'!B5/HUS!F5)</f>
        <v/>
      </c>
      <c r="I5" s="6"/>
    </row>
    <row r="6" spans="1:11" x14ac:dyDescent="0.3">
      <c r="A6" t="str">
        <f>IF(ISBLANK('Info Cuencas'!A6),"",'Info Cuencas'!A6)</f>
        <v/>
      </c>
      <c r="B6" s="4" t="str">
        <f>IF(A6="","",'Info Cuencas'!B6)</f>
        <v/>
      </c>
      <c r="C6" s="4" t="str">
        <f>IF(A6="","",'Info Cuencas'!C6)</f>
        <v/>
      </c>
      <c r="D6" s="6" t="str">
        <f>IF(A6="","",0.133*'Info Cuencas'!R6)</f>
        <v/>
      </c>
      <c r="E6" s="9"/>
      <c r="F6" s="6" t="str">
        <f>IF(A6="","",0.6*'Info Cuencas'!R6+HUS!E6/2)</f>
        <v/>
      </c>
      <c r="G6" s="6" t="str">
        <f t="shared" ref="G6:G11" si="1">IF(A6="","",5*F6)</f>
        <v/>
      </c>
      <c r="H6" s="6" t="str">
        <f>IF(A6="","",0.208*'Info Cuencas'!B6/HUS!F6)</f>
        <v/>
      </c>
      <c r="I6" s="6"/>
    </row>
    <row r="7" spans="1:11" x14ac:dyDescent="0.3">
      <c r="A7" t="str">
        <f>IF(ISBLANK('Info Cuencas'!A7),"",'Info Cuencas'!A7)</f>
        <v/>
      </c>
      <c r="B7" s="4" t="str">
        <f>IF(A7="","",'Info Cuencas'!B7)</f>
        <v/>
      </c>
      <c r="C7" s="4" t="str">
        <f>IF(A7="","",'Info Cuencas'!C7)</f>
        <v/>
      </c>
      <c r="D7" s="6" t="str">
        <f>IF(A7="","",0.133*'Info Cuencas'!R7)</f>
        <v/>
      </c>
      <c r="E7" s="9"/>
      <c r="F7" s="6" t="str">
        <f>IF(A7="","",0.6*'Info Cuencas'!R7+HUS!E7/2)</f>
        <v/>
      </c>
      <c r="G7" s="6" t="str">
        <f t="shared" si="1"/>
        <v/>
      </c>
      <c r="H7" s="6" t="str">
        <f>IF(A7="","",0.208*'Info Cuencas'!B7/HUS!F7)</f>
        <v/>
      </c>
      <c r="I7" s="6"/>
    </row>
    <row r="8" spans="1:11" x14ac:dyDescent="0.3">
      <c r="A8" t="str">
        <f>IF(ISBLANK('Info Cuencas'!A8),"",'Info Cuencas'!A8)</f>
        <v/>
      </c>
      <c r="B8" s="4" t="str">
        <f>IF(A8="","",'Info Cuencas'!B8)</f>
        <v/>
      </c>
      <c r="C8" s="4" t="str">
        <f>IF(A8="","",'Info Cuencas'!C8)</f>
        <v/>
      </c>
      <c r="D8" s="6" t="str">
        <f>IF(A8="","",0.133*'Info Cuencas'!R8)</f>
        <v/>
      </c>
      <c r="E8" s="9"/>
      <c r="F8" s="6" t="str">
        <f>IF(A8="","",0.6*'Info Cuencas'!R8+HUS!E8/2)</f>
        <v/>
      </c>
      <c r="G8" s="6" t="str">
        <f>IF(A8="","",5*F8)</f>
        <v/>
      </c>
      <c r="H8" s="6" t="str">
        <f>IF(A8="","",0.208*'Info Cuencas'!B8/HUS!F8)</f>
        <v/>
      </c>
      <c r="I8" s="6"/>
    </row>
    <row r="9" spans="1:11" x14ac:dyDescent="0.3">
      <c r="A9" t="str">
        <f>IF(ISBLANK('Info Cuencas'!A9),"",'Info Cuencas'!A9)</f>
        <v/>
      </c>
      <c r="B9" s="4" t="str">
        <f>IF(A9="","",'Info Cuencas'!B9)</f>
        <v/>
      </c>
      <c r="C9" s="4" t="str">
        <f>IF(A9="","",'Info Cuencas'!C9)</f>
        <v/>
      </c>
      <c r="D9" s="6" t="str">
        <f>IF(A9="","",0.133*'Info Cuencas'!R9)</f>
        <v/>
      </c>
      <c r="E9" s="9"/>
      <c r="F9" s="6" t="str">
        <f>IF(A9="","",0.6*'Info Cuencas'!R9+HUS!E9/2)</f>
        <v/>
      </c>
      <c r="G9" s="6" t="str">
        <f t="shared" si="1"/>
        <v/>
      </c>
      <c r="H9" s="6" t="str">
        <f>IF(A9="","",0.208*'Info Cuencas'!B9/HUS!F9)</f>
        <v/>
      </c>
      <c r="I9" s="6"/>
    </row>
    <row r="10" spans="1:11" x14ac:dyDescent="0.3">
      <c r="A10" t="str">
        <f>IF(ISBLANK('Info Cuencas'!A10),"",'Info Cuencas'!A10)</f>
        <v/>
      </c>
      <c r="B10" s="4" t="str">
        <f>IF(A10="","",'Info Cuencas'!B10)</f>
        <v/>
      </c>
      <c r="C10" s="4" t="str">
        <f>IF(A10="","",'Info Cuencas'!C10)</f>
        <v/>
      </c>
      <c r="D10" s="6" t="str">
        <f>IF(A10="","",0.133*'Info Cuencas'!R10)</f>
        <v/>
      </c>
      <c r="E10" s="9"/>
      <c r="F10" s="6" t="str">
        <f>IF(A10="","",0.6*'Info Cuencas'!R10+HUS!E10/2)</f>
        <v/>
      </c>
      <c r="G10" s="6" t="str">
        <f t="shared" si="1"/>
        <v/>
      </c>
      <c r="H10" s="6" t="str">
        <f>IF(A10="","",0.208*'Info Cuencas'!B10/HUS!F10)</f>
        <v/>
      </c>
      <c r="I10" s="6"/>
    </row>
    <row r="11" spans="1:11" x14ac:dyDescent="0.3">
      <c r="A11" t="str">
        <f>IF(ISBLANK('Info Cuencas'!A11),"",'Info Cuencas'!A11)</f>
        <v/>
      </c>
      <c r="B11" s="4" t="str">
        <f>IF(A11="","",'Info Cuencas'!B11)</f>
        <v/>
      </c>
      <c r="C11" s="4" t="str">
        <f>IF(A11="","",'Info Cuencas'!C11)</f>
        <v/>
      </c>
      <c r="D11" s="6" t="str">
        <f>IF(A11="","",0.133*'Info Cuencas'!R11)</f>
        <v/>
      </c>
      <c r="E11" s="9"/>
      <c r="F11" s="6" t="str">
        <f>IF(A11="","",0.6*'Info Cuencas'!R11+HUS!E11/2)</f>
        <v/>
      </c>
      <c r="G11" s="6" t="str">
        <f t="shared" si="1"/>
        <v/>
      </c>
      <c r="H11" s="6" t="str">
        <f>IF(A11="","",0.208*'Info Cuencas'!B11/HUS!F11)</f>
        <v/>
      </c>
      <c r="I11" s="6"/>
    </row>
    <row r="12" spans="1:11" x14ac:dyDescent="0.3">
      <c r="A12" t="str">
        <f>IF(ISBLANK('Info Cuencas'!A12),"",'Info Cuencas'!A12)</f>
        <v/>
      </c>
      <c r="B12" s="4" t="str">
        <f>IF(A12="","",'Info Cuencas'!B12)</f>
        <v/>
      </c>
      <c r="C12" s="4" t="str">
        <f>IF(A12="","",'Info Cuencas'!C12)</f>
        <v/>
      </c>
      <c r="D12" t="str">
        <f>IF(A12="","",0.133*'Info Cuencas'!R12)</f>
        <v/>
      </c>
      <c r="E12" s="9"/>
      <c r="F12" s="6" t="str">
        <f>IF(A12="","",0.6*'Info Cuencas'!R12+HUS!E12/2)</f>
        <v/>
      </c>
    </row>
    <row r="13" spans="1:11" x14ac:dyDescent="0.3">
      <c r="A13" t="str">
        <f>IF(ISBLANK('Info Cuencas'!A13),"",'Info Cuencas'!A13)</f>
        <v/>
      </c>
      <c r="B13" s="4" t="str">
        <f>IF(A13="","",'Info Cuencas'!B13)</f>
        <v/>
      </c>
      <c r="C13" s="4" t="str">
        <f>IF(A13="","",'Info Cuencas'!C13)</f>
        <v/>
      </c>
      <c r="D13" t="str">
        <f>IF(A13="","",0.133*'Info Cuencas'!R13)</f>
        <v/>
      </c>
      <c r="E13" s="9"/>
      <c r="F13" s="6" t="str">
        <f>IF(A13="","",0.6*'Info Cuencas'!R13+HUS!E13/2)</f>
        <v/>
      </c>
    </row>
    <row r="14" spans="1:11" x14ac:dyDescent="0.3">
      <c r="A14" t="str">
        <f>IF(ISBLANK('Info Cuencas'!A14),"",'Info Cuencas'!A14)</f>
        <v/>
      </c>
      <c r="B14" s="4" t="str">
        <f>IF(A14="","",'Info Cuencas'!B14)</f>
        <v/>
      </c>
      <c r="C14" s="4" t="str">
        <f>IF(A14="","",'Info Cuencas'!C14)</f>
        <v/>
      </c>
      <c r="D14" t="str">
        <f>IF(A14="","",0.133*'Info Cuencas'!R14)</f>
        <v/>
      </c>
      <c r="E14" s="9"/>
      <c r="F14" s="6" t="str">
        <f>IF(A14="","",0.6*'Info Cuencas'!R14+HUS!E14/2)</f>
        <v/>
      </c>
    </row>
    <row r="15" spans="1:11" x14ac:dyDescent="0.3">
      <c r="A15" t="str">
        <f>IF(ISBLANK('Info Cuencas'!A15),"",'Info Cuencas'!A15)</f>
        <v/>
      </c>
      <c r="B15" s="4" t="str">
        <f>IF(A15="","",'Info Cuencas'!B15)</f>
        <v/>
      </c>
      <c r="C15" s="4" t="str">
        <f>IF(A15="","",'Info Cuencas'!C15)</f>
        <v/>
      </c>
      <c r="D15" t="str">
        <f>IF(A15="","",0.133*'Info Cuencas'!R15)</f>
        <v/>
      </c>
      <c r="F15" s="6" t="str">
        <f>IF(A15="","",0.6*'Info Cuencas'!R15+HUS!E15/2)</f>
        <v/>
      </c>
    </row>
    <row r="16" spans="1:11" x14ac:dyDescent="0.3">
      <c r="A16" t="str">
        <f>IF(ISBLANK('Info Cuencas'!A16),"",'Info Cuencas'!A16)</f>
        <v/>
      </c>
      <c r="B16" s="4" t="str">
        <f>IF(A16="","",'Info Cuencas'!B16)</f>
        <v/>
      </c>
      <c r="C16" s="4" t="str">
        <f>IF(A16="","",'Info Cuencas'!C16)</f>
        <v/>
      </c>
      <c r="D16" t="str">
        <f>IF(A16="","",0.133*'Info Cuencas'!R16)</f>
        <v/>
      </c>
      <c r="F16" s="6" t="str">
        <f>IF(A16="","",0.6*'Info Cuencas'!R16+HUS!E16/2)</f>
        <v/>
      </c>
    </row>
    <row r="17" spans="1:6" x14ac:dyDescent="0.3">
      <c r="A17" t="str">
        <f>IF(ISBLANK('Info Cuencas'!A17),"",'Info Cuencas'!A17)</f>
        <v/>
      </c>
      <c r="B17" s="4" t="str">
        <f>IF(A17="","",'Info Cuencas'!B17)</f>
        <v/>
      </c>
      <c r="C17" s="4" t="str">
        <f>IF(A17="","",'Info Cuencas'!C17)</f>
        <v/>
      </c>
      <c r="D17" t="str">
        <f>IF(A17="","",0.133*'Info Cuencas'!R17)</f>
        <v/>
      </c>
      <c r="F17" s="6" t="str">
        <f>IF(A17="","",0.6*'Info Cuencas'!R17+HUS!E17/2)</f>
        <v/>
      </c>
    </row>
    <row r="18" spans="1:6" x14ac:dyDescent="0.3">
      <c r="A18" t="str">
        <f>IF(ISBLANK('Info Cuencas'!A18),"",'Info Cuencas'!A18)</f>
        <v/>
      </c>
      <c r="B18" s="4" t="str">
        <f>IF(A18="","",'Info Cuencas'!B18)</f>
        <v/>
      </c>
      <c r="C18" s="4" t="str">
        <f>IF(A18="","",'Info Cuencas'!C18)</f>
        <v/>
      </c>
      <c r="D18" t="str">
        <f>IF(A18="","",0.133*'Info Cuencas'!R18)</f>
        <v/>
      </c>
      <c r="F18" s="6" t="str">
        <f>IF(A18="","",0.6*'Info Cuencas'!R18+HUS!E18/2)</f>
        <v/>
      </c>
    </row>
    <row r="19" spans="1:6" x14ac:dyDescent="0.3">
      <c r="A19" t="str">
        <f>IF(ISBLANK('Info Cuencas'!A19),"",'Info Cuencas'!A19)</f>
        <v/>
      </c>
      <c r="B19" s="4" t="str">
        <f>IF(A19="","",'Info Cuencas'!B19)</f>
        <v/>
      </c>
      <c r="C19" s="4" t="str">
        <f>IF(A19="","",'Info Cuencas'!C19)</f>
        <v/>
      </c>
      <c r="D19" t="str">
        <f>IF(A19="","",0.133*'Info Cuencas'!R19)</f>
        <v/>
      </c>
      <c r="F19" s="6" t="str">
        <f>IF(A19="","",0.6*'Info Cuencas'!R19+HUS!E19/2)</f>
        <v/>
      </c>
    </row>
    <row r="20" spans="1:6" x14ac:dyDescent="0.3">
      <c r="A20" t="str">
        <f>IF(ISBLANK('Info Cuencas'!A20),"",'Info Cuencas'!A20)</f>
        <v/>
      </c>
      <c r="B20" s="4" t="str">
        <f>IF(A20="","",'Info Cuencas'!B20)</f>
        <v/>
      </c>
      <c r="C20" s="4" t="str">
        <f>IF(A20="","",'Info Cuencas'!C20)</f>
        <v/>
      </c>
      <c r="D20" t="str">
        <f>IF(A20="","",0.133*'Info Cuencas'!R20)</f>
        <v/>
      </c>
      <c r="F20" s="6" t="str">
        <f>IF(A20="","",0.6*'Info Cuencas'!R20+HUS!E20/2)</f>
        <v/>
      </c>
    </row>
    <row r="21" spans="1:6" x14ac:dyDescent="0.3">
      <c r="A21" t="str">
        <f>IF(ISBLANK('Info Cuencas'!A21),"",'Info Cuencas'!A21)</f>
        <v/>
      </c>
      <c r="B21" s="4" t="str">
        <f>IF(A21="","",'Info Cuencas'!B21)</f>
        <v/>
      </c>
      <c r="C21" s="4" t="str">
        <f>IF(A21="","",'Info Cuencas'!C21)</f>
        <v/>
      </c>
      <c r="D21" t="str">
        <f>IF(A21="","",0.133*'Info Cuencas'!R21)</f>
        <v/>
      </c>
      <c r="F21" s="6" t="str">
        <f>IF(A21="","",0.6*'Info Cuencas'!R21+HUS!E21/2)</f>
        <v/>
      </c>
    </row>
    <row r="22" spans="1:6" x14ac:dyDescent="0.3">
      <c r="A22" t="str">
        <f>IF(ISBLANK('Info Cuencas'!A22),"",'Info Cuencas'!A22)</f>
        <v/>
      </c>
      <c r="B22" s="4" t="str">
        <f>IF(A22="","",'Info Cuencas'!B22)</f>
        <v/>
      </c>
      <c r="C22" s="4" t="str">
        <f>IF(A22="","",'Info Cuencas'!C22)</f>
        <v/>
      </c>
      <c r="D22" t="str">
        <f>IF(A22="","",0.133*'Info Cuencas'!R22)</f>
        <v/>
      </c>
      <c r="F22" s="6" t="str">
        <f>IF(A22="","",0.6*'Info Cuencas'!R22+HUS!E22/2)</f>
        <v/>
      </c>
    </row>
    <row r="23" spans="1:6" x14ac:dyDescent="0.3">
      <c r="A23" t="str">
        <f>IF(ISBLANK('Info Cuencas'!A23),"",'Info Cuencas'!A23)</f>
        <v/>
      </c>
      <c r="B23" s="4" t="str">
        <f>IF(A23="","",'Info Cuencas'!B23)</f>
        <v/>
      </c>
      <c r="C23" s="4" t="str">
        <f>IF(A23="","",'Info Cuencas'!C23)</f>
        <v/>
      </c>
      <c r="D23" t="str">
        <f>IF(A23="","",0.133*'Info Cuencas'!R23)</f>
        <v/>
      </c>
      <c r="F23" s="6" t="str">
        <f>IF(A23="","",0.6*'Info Cuencas'!R23+HUS!E23/2)</f>
        <v/>
      </c>
    </row>
    <row r="24" spans="1:6" x14ac:dyDescent="0.3">
      <c r="A24" t="str">
        <f>IF(ISBLANK('Info Cuencas'!A24),"",'Info Cuencas'!A24)</f>
        <v/>
      </c>
      <c r="B24" s="4" t="str">
        <f>IF(A24="","",'Info Cuencas'!B24)</f>
        <v/>
      </c>
      <c r="C24" s="4" t="str">
        <f>IF(A24="","",'Info Cuencas'!C24)</f>
        <v/>
      </c>
      <c r="D24" t="str">
        <f>IF(A24="","",0.133*'Info Cuencas'!R24)</f>
        <v/>
      </c>
      <c r="F24" s="6" t="str">
        <f>IF(A24="","",0.6*'Info Cuencas'!R24+HUS!E24/2)</f>
        <v/>
      </c>
    </row>
    <row r="25" spans="1:6" x14ac:dyDescent="0.3">
      <c r="A25" t="str">
        <f>IF(ISBLANK('Info Cuencas'!A25),"",'Info Cuencas'!A25)</f>
        <v/>
      </c>
      <c r="B25" s="4" t="str">
        <f>IF(A25="","",'Info Cuencas'!B25)</f>
        <v/>
      </c>
      <c r="C25" s="4" t="str">
        <f>IF(A25="","",'Info Cuencas'!C25)</f>
        <v/>
      </c>
      <c r="D25" t="str">
        <f>IF(A25="","",0.133*'Info Cuencas'!R25)</f>
        <v/>
      </c>
      <c r="F25" s="6" t="str">
        <f>IF(A25="","",0.6*'Info Cuencas'!R25+HUS!E25/2)</f>
        <v/>
      </c>
    </row>
    <row r="26" spans="1:6" x14ac:dyDescent="0.3">
      <c r="A26" t="str">
        <f>IF(ISBLANK('Info Cuencas'!A26),"",'Info Cuencas'!A26)</f>
        <v/>
      </c>
      <c r="B26" s="4" t="str">
        <f>IF(A26="","",'Info Cuencas'!B26)</f>
        <v/>
      </c>
      <c r="C26" s="4" t="str">
        <f>IF(A26="","",'Info Cuencas'!C26)</f>
        <v/>
      </c>
      <c r="D26" t="str">
        <f>IF(A26="","",0.133*'Info Cuencas'!R26)</f>
        <v/>
      </c>
      <c r="F26" s="6" t="str">
        <f>IF(A26="","",0.6*'Info Cuencas'!R26+HUS!E26/2)</f>
        <v/>
      </c>
    </row>
    <row r="27" spans="1:6" x14ac:dyDescent="0.3">
      <c r="A27" t="str">
        <f>IF(ISBLANK('Info Cuencas'!A27),"",'Info Cuencas'!A27)</f>
        <v/>
      </c>
      <c r="B27" s="4" t="str">
        <f>IF(A27="","",'Info Cuencas'!B27)</f>
        <v/>
      </c>
      <c r="C27" s="4" t="str">
        <f>IF(A27="","",'Info Cuencas'!C27)</f>
        <v/>
      </c>
      <c r="D27" t="str">
        <f>IF(A27="","",0.133*'Info Cuencas'!R27)</f>
        <v/>
      </c>
      <c r="F27" s="6" t="str">
        <f>IF(A27="","",0.6*'Info Cuencas'!R27+HUS!E27/2)</f>
        <v/>
      </c>
    </row>
    <row r="28" spans="1:6" x14ac:dyDescent="0.3">
      <c r="A28" t="str">
        <f>IF(ISBLANK('Info Cuencas'!A28),"",'Info Cuencas'!A28)</f>
        <v/>
      </c>
      <c r="B28" s="4" t="str">
        <f>IF(A28="","",'Info Cuencas'!B28)</f>
        <v/>
      </c>
      <c r="C28" s="4" t="str">
        <f>IF(A28="","",'Info Cuencas'!C28)</f>
        <v/>
      </c>
      <c r="D28" t="str">
        <f>IF(A28="","",0.133*'Info Cuencas'!R28)</f>
        <v/>
      </c>
      <c r="F28" s="6" t="str">
        <f>IF(A28="","",0.6*'Info Cuencas'!R28+HUS!E28/2)</f>
        <v/>
      </c>
    </row>
    <row r="29" spans="1:6" x14ac:dyDescent="0.3">
      <c r="A29" t="str">
        <f>IF(ISBLANK('Info Cuencas'!A29),"",'Info Cuencas'!A29)</f>
        <v/>
      </c>
      <c r="B29" s="4" t="str">
        <f>IF(A29="","",'Info Cuencas'!B29)</f>
        <v/>
      </c>
      <c r="C29" s="4" t="str">
        <f>IF(A29="","",'Info Cuencas'!C29)</f>
        <v/>
      </c>
      <c r="D29" t="str">
        <f>IF(A29="","",0.133*'Info Cuencas'!R29)</f>
        <v/>
      </c>
      <c r="F29" s="6" t="str">
        <f>IF(A29="","",0.6*'Info Cuencas'!R29+HUS!E29/2)</f>
        <v/>
      </c>
    </row>
    <row r="30" spans="1:6" x14ac:dyDescent="0.3">
      <c r="A30" t="str">
        <f>IF(ISBLANK('Info Cuencas'!A30),"",'Info Cuencas'!A30)</f>
        <v/>
      </c>
      <c r="B30" s="4" t="str">
        <f>IF(A30="","",'Info Cuencas'!B30)</f>
        <v/>
      </c>
      <c r="C30" s="4" t="str">
        <f>IF(A30="","",'Info Cuencas'!C30)</f>
        <v/>
      </c>
      <c r="D30" t="str">
        <f>IF(A30="","",0.133*'Info Cuencas'!R30)</f>
        <v/>
      </c>
      <c r="F30" s="6" t="str">
        <f>IF(A30="","",0.6*'Info Cuencas'!R30+HUS!E30/2)</f>
        <v/>
      </c>
    </row>
    <row r="31" spans="1:6" x14ac:dyDescent="0.3">
      <c r="A31" t="str">
        <f>IF(ISBLANK('Info Cuencas'!A31),"",'Info Cuencas'!A31)</f>
        <v/>
      </c>
      <c r="B31" s="4" t="str">
        <f>IF(A31="","",'Info Cuencas'!B31)</f>
        <v/>
      </c>
      <c r="C31" s="4" t="str">
        <f>IF(A31="","",'Info Cuencas'!C31)</f>
        <v/>
      </c>
      <c r="D31" t="str">
        <f>IF(A31="","",0.133*'Info Cuencas'!R31)</f>
        <v/>
      </c>
      <c r="F31" s="6" t="str">
        <f>IF(A31="","",0.6*'Info Cuencas'!R31+HUS!E31/2)</f>
        <v/>
      </c>
    </row>
    <row r="32" spans="1:6" x14ac:dyDescent="0.3">
      <c r="A32" t="str">
        <f>IF(ISBLANK('Info Cuencas'!A32),"",'Info Cuencas'!A32)</f>
        <v/>
      </c>
      <c r="B32" s="4" t="str">
        <f>IF(A32="","",'Info Cuencas'!B32)</f>
        <v/>
      </c>
      <c r="C32" s="4" t="str">
        <f>IF(A32="","",'Info Cuencas'!C32)</f>
        <v/>
      </c>
      <c r="D32" t="str">
        <f>IF(A32="","",0.133*'Info Cuencas'!R32)</f>
        <v/>
      </c>
      <c r="F32" s="6" t="str">
        <f>IF(A32="","",0.6*'Info Cuencas'!R32+HUS!E32/2)</f>
        <v/>
      </c>
    </row>
    <row r="33" spans="1:6" x14ac:dyDescent="0.3">
      <c r="A33" t="str">
        <f>IF(ISBLANK('Info Cuencas'!A33),"",'Info Cuencas'!A33)</f>
        <v/>
      </c>
      <c r="B33" s="4" t="str">
        <f>IF(A33="","",'Info Cuencas'!B33)</f>
        <v/>
      </c>
      <c r="C33" s="4" t="str">
        <f>IF(A33="","",'Info Cuencas'!C33)</f>
        <v/>
      </c>
      <c r="D33" t="str">
        <f>IF(A33="","",0.133*'Info Cuencas'!R33)</f>
        <v/>
      </c>
      <c r="F33" s="6" t="str">
        <f>IF(A33="","",0.6*'Info Cuencas'!R33+HUS!E33/2)</f>
        <v/>
      </c>
    </row>
    <row r="34" spans="1:6" x14ac:dyDescent="0.3">
      <c r="A34" t="str">
        <f>IF(ISBLANK('Info Cuencas'!A34),"",'Info Cuencas'!A34)</f>
        <v/>
      </c>
      <c r="B34" s="4" t="str">
        <f>IF(A34="","",'Info Cuencas'!B34)</f>
        <v/>
      </c>
      <c r="C34" s="4" t="str">
        <f>IF(A34="","",'Info Cuencas'!C34)</f>
        <v/>
      </c>
      <c r="D34" t="str">
        <f>IF(A34="","",0.133*'Info Cuencas'!R34)</f>
        <v/>
      </c>
      <c r="F34" s="6" t="str">
        <f>IF(A34="","",0.6*'Info Cuencas'!R34+HUS!E34/2)</f>
        <v/>
      </c>
    </row>
    <row r="35" spans="1:6" x14ac:dyDescent="0.3">
      <c r="A35" t="str">
        <f>IF(ISBLANK('Info Cuencas'!A35),"",'Info Cuencas'!A35)</f>
        <v/>
      </c>
      <c r="B35" s="4" t="str">
        <f>IF(A35="","",'Info Cuencas'!B35)</f>
        <v/>
      </c>
      <c r="C35" s="4" t="str">
        <f>IF(A35="","",'Info Cuencas'!C35)</f>
        <v/>
      </c>
      <c r="D35" t="str">
        <f>IF(A35="","",0.133*'Info Cuencas'!R35)</f>
        <v/>
      </c>
      <c r="F35" s="6" t="str">
        <f>IF(A35="","",0.6*'Info Cuencas'!R35+HUS!E35/2)</f>
        <v/>
      </c>
    </row>
    <row r="36" spans="1:6" x14ac:dyDescent="0.3">
      <c r="A36" t="str">
        <f>IF(ISBLANK('Info Cuencas'!A36),"",'Info Cuencas'!A36)</f>
        <v/>
      </c>
      <c r="B36" s="4" t="str">
        <f>IF(A36="","",'Info Cuencas'!B36)</f>
        <v/>
      </c>
      <c r="C36" s="4" t="str">
        <f>IF(A36="","",'Info Cuencas'!C36)</f>
        <v/>
      </c>
      <c r="D36" t="str">
        <f>IF(A36="","",0.133*'Info Cuencas'!R36)</f>
        <v/>
      </c>
      <c r="F36" s="6" t="str">
        <f>IF(A36="","",0.6*'Info Cuencas'!R36+HUS!E36/2)</f>
        <v/>
      </c>
    </row>
    <row r="37" spans="1:6" x14ac:dyDescent="0.3">
      <c r="A37" t="str">
        <f>IF(ISBLANK('Info Cuencas'!A37),"",'Info Cuencas'!A37)</f>
        <v/>
      </c>
      <c r="B37" s="4" t="str">
        <f>IF(A37="","",'Info Cuencas'!B37)</f>
        <v/>
      </c>
      <c r="C37" s="4" t="str">
        <f>IF(A37="","",'Info Cuencas'!C37)</f>
        <v/>
      </c>
      <c r="D37" t="str">
        <f>IF(A37="","",0.133*'Info Cuencas'!R37)</f>
        <v/>
      </c>
      <c r="F37" s="6" t="str">
        <f>IF(A37="","",0.6*'Info Cuencas'!R37+HUS!E37/2)</f>
        <v/>
      </c>
    </row>
    <row r="38" spans="1:6" x14ac:dyDescent="0.3">
      <c r="A38" t="str">
        <f>IF(ISBLANK('Info Cuencas'!A38),"",'Info Cuencas'!A38)</f>
        <v/>
      </c>
      <c r="B38" s="4" t="str">
        <f>IF(A38="","",'Info Cuencas'!B38)</f>
        <v/>
      </c>
      <c r="C38" s="4" t="str">
        <f>IF(A38="","",'Info Cuencas'!C38)</f>
        <v/>
      </c>
      <c r="D38" t="str">
        <f>IF(A38="","",0.133*'Info Cuencas'!R38)</f>
        <v/>
      </c>
      <c r="F38" s="6" t="str">
        <f>IF(A38="","",0.6*'Info Cuencas'!R38+HUS!E38/2)</f>
        <v/>
      </c>
    </row>
    <row r="39" spans="1:6" x14ac:dyDescent="0.3">
      <c r="A39" t="str">
        <f>IF(ISBLANK('Info Cuencas'!A39),"",'Info Cuencas'!A39)</f>
        <v/>
      </c>
      <c r="B39" s="4" t="str">
        <f>IF(A39="","",'Info Cuencas'!B39)</f>
        <v/>
      </c>
      <c r="C39" s="4" t="str">
        <f>IF(A39="","",'Info Cuencas'!C39)</f>
        <v/>
      </c>
      <c r="D39" t="str">
        <f>IF(A39="","",0.133*'Info Cuencas'!R39)</f>
        <v/>
      </c>
      <c r="F39" s="6" t="str">
        <f>IF(A39="","",0.6*'Info Cuencas'!R39+HUS!E39/2)</f>
        <v/>
      </c>
    </row>
    <row r="40" spans="1:6" x14ac:dyDescent="0.3">
      <c r="A40" t="str">
        <f>IF(ISBLANK('Info Cuencas'!A40),"",'Info Cuencas'!A40)</f>
        <v/>
      </c>
      <c r="B40" s="4" t="str">
        <f>IF(A40="","",'Info Cuencas'!B40)</f>
        <v/>
      </c>
      <c r="C40" s="4" t="str">
        <f>IF(A40="","",'Info Cuencas'!C40)</f>
        <v/>
      </c>
      <c r="D40" t="str">
        <f>IF(A40="","",0.133*'Info Cuencas'!R40)</f>
        <v/>
      </c>
      <c r="F40" s="6" t="str">
        <f>IF(A40="","",0.6*'Info Cuencas'!R40+HUS!E40/2)</f>
        <v/>
      </c>
    </row>
    <row r="41" spans="1:6" x14ac:dyDescent="0.3">
      <c r="A41" t="str">
        <f>IF(ISBLANK('Info Cuencas'!A41),"",'Info Cuencas'!A41)</f>
        <v/>
      </c>
      <c r="B41" s="4" t="str">
        <f>IF(A41="","",'Info Cuencas'!B41)</f>
        <v/>
      </c>
      <c r="C41" s="4" t="str">
        <f>IF(A41="","",'Info Cuencas'!C41)</f>
        <v/>
      </c>
      <c r="D41" t="str">
        <f>IF(A41="","",0.133*'Info Cuencas'!R41)</f>
        <v/>
      </c>
      <c r="F41" s="6" t="str">
        <f>IF(A41="","",0.6*'Info Cuencas'!R41+HUS!E41/2)</f>
        <v/>
      </c>
    </row>
    <row r="42" spans="1:6" x14ac:dyDescent="0.3">
      <c r="A42" t="str">
        <f>IF(ISBLANK('Info Cuencas'!A42),"",'Info Cuencas'!A42)</f>
        <v/>
      </c>
      <c r="B42" s="4" t="str">
        <f>IF(A42="","",'Info Cuencas'!B42)</f>
        <v/>
      </c>
      <c r="C42" s="4" t="str">
        <f>IF(A42="","",'Info Cuencas'!C42)</f>
        <v/>
      </c>
      <c r="D42" t="str">
        <f>IF(A42="","",0.133*'Info Cuencas'!R42)</f>
        <v/>
      </c>
      <c r="F42" s="6" t="str">
        <f>IF(A42="","",0.6*'Info Cuencas'!R42+HUS!E42/2)</f>
        <v/>
      </c>
    </row>
    <row r="43" spans="1:6" x14ac:dyDescent="0.3">
      <c r="A43" t="str">
        <f>IF(ISBLANK('Info Cuencas'!A43),"",'Info Cuencas'!A43)</f>
        <v/>
      </c>
      <c r="B43" s="4" t="str">
        <f>IF(A43="","",'Info Cuencas'!B43)</f>
        <v/>
      </c>
      <c r="C43" s="4" t="str">
        <f>IF(A43="","",'Info Cuencas'!C43)</f>
        <v/>
      </c>
      <c r="D43" t="str">
        <f>IF(A43="","",0.133*'Info Cuencas'!R43)</f>
        <v/>
      </c>
      <c r="F43" s="6" t="str">
        <f>IF(A43="","",0.6*'Info Cuencas'!R43+HUS!E43/2)</f>
        <v/>
      </c>
    </row>
    <row r="44" spans="1:6" x14ac:dyDescent="0.3">
      <c r="A44" t="str">
        <f>IF(ISBLANK('Info Cuencas'!A44),"",'Info Cuencas'!A44)</f>
        <v/>
      </c>
      <c r="B44" s="4" t="str">
        <f>IF(A44="","",'Info Cuencas'!B44)</f>
        <v/>
      </c>
      <c r="C44" s="4" t="str">
        <f>IF(A44="","",'Info Cuencas'!C44)</f>
        <v/>
      </c>
      <c r="D44" t="str">
        <f>IF(A44="","",0.133*'Info Cuencas'!R44)</f>
        <v/>
      </c>
      <c r="F44" s="6" t="str">
        <f>IF(A44="","",0.6*'Info Cuencas'!R44+HUS!E44/2)</f>
        <v/>
      </c>
    </row>
    <row r="45" spans="1:6" x14ac:dyDescent="0.3">
      <c r="A45" t="str">
        <f>IF(ISBLANK('Info Cuencas'!A45),"",'Info Cuencas'!A45)</f>
        <v/>
      </c>
      <c r="B45" s="4" t="str">
        <f>IF(A45="","",'Info Cuencas'!B45)</f>
        <v/>
      </c>
      <c r="C45" s="4" t="str">
        <f>IF(A45="","",'Info Cuencas'!C45)</f>
        <v/>
      </c>
      <c r="D45" t="str">
        <f>IF(A45="","",0.133*'Info Cuencas'!R45)</f>
        <v/>
      </c>
      <c r="F45" s="6" t="str">
        <f>IF(A45="","",0.6*'Info Cuencas'!R45+HUS!E45/2)</f>
        <v/>
      </c>
    </row>
    <row r="46" spans="1:6" x14ac:dyDescent="0.3">
      <c r="A46" t="str">
        <f>IF(ISBLANK('Info Cuencas'!A46),"",'Info Cuencas'!A46)</f>
        <v/>
      </c>
      <c r="B46" s="4" t="str">
        <f>IF(A46="","",'Info Cuencas'!B46)</f>
        <v/>
      </c>
      <c r="C46" s="4" t="str">
        <f>IF(A46="","",'Info Cuencas'!C46)</f>
        <v/>
      </c>
      <c r="D46" t="str">
        <f>IF(A46="","",0.133*'Info Cuencas'!R46)</f>
        <v/>
      </c>
      <c r="F46" s="6" t="str">
        <f>IF(A46="","",0.6*'Info Cuencas'!R46+HUS!E46/2)</f>
        <v/>
      </c>
    </row>
    <row r="47" spans="1:6" x14ac:dyDescent="0.3">
      <c r="A47" t="str">
        <f>IF(ISBLANK('Info Cuencas'!A47),"",'Info Cuencas'!A47)</f>
        <v/>
      </c>
      <c r="B47" s="4" t="str">
        <f>IF(A47="","",'Info Cuencas'!B47)</f>
        <v/>
      </c>
      <c r="C47" s="4" t="str">
        <f>IF(A47="","",'Info Cuencas'!C47)</f>
        <v/>
      </c>
      <c r="D47" t="str">
        <f>IF(A47="","",0.133*'Info Cuencas'!R47)</f>
        <v/>
      </c>
      <c r="F47" s="6" t="str">
        <f>IF(A47="","",0.6*'Info Cuencas'!R47+HUS!E47/2)</f>
        <v/>
      </c>
    </row>
    <row r="48" spans="1:6" x14ac:dyDescent="0.3">
      <c r="A48" t="str">
        <f>IF(ISBLANK('Info Cuencas'!A48),"",'Info Cuencas'!A48)</f>
        <v/>
      </c>
      <c r="B48" s="4" t="str">
        <f>IF(A48="","",'Info Cuencas'!B48)</f>
        <v/>
      </c>
      <c r="C48" s="4" t="str">
        <f>IF(A48="","",'Info Cuencas'!C48)</f>
        <v/>
      </c>
      <c r="D48" t="str">
        <f>IF(A48="","",0.133*'Info Cuencas'!R48)</f>
        <v/>
      </c>
      <c r="F48" s="6" t="str">
        <f>IF(A48="","",0.6*'Info Cuencas'!R48+HUS!E48/2)</f>
        <v/>
      </c>
    </row>
    <row r="49" spans="1:6" x14ac:dyDescent="0.3">
      <c r="A49" t="str">
        <f>IF(ISBLANK('Info Cuencas'!A49),"",'Info Cuencas'!A49)</f>
        <v/>
      </c>
      <c r="B49" s="4" t="str">
        <f>IF(A49="","",'Info Cuencas'!B49)</f>
        <v/>
      </c>
      <c r="C49" s="4" t="str">
        <f>IF(A49="","",'Info Cuencas'!C49)</f>
        <v/>
      </c>
      <c r="D49" t="str">
        <f>IF(A49="","",0.133*'Info Cuencas'!R49)</f>
        <v/>
      </c>
      <c r="F49" s="6" t="str">
        <f>IF(A49="","",0.6*'Info Cuencas'!R49+HUS!E49/2)</f>
        <v/>
      </c>
    </row>
    <row r="50" spans="1:6" x14ac:dyDescent="0.3">
      <c r="A50" t="str">
        <f>IF(ISBLANK('Info Cuencas'!A50),"",'Info Cuencas'!A50)</f>
        <v/>
      </c>
      <c r="B50" s="4" t="str">
        <f>IF(A50="","",'Info Cuencas'!B50)</f>
        <v/>
      </c>
      <c r="C50" s="4" t="str">
        <f>IF(A50="","",'Info Cuencas'!C50)</f>
        <v/>
      </c>
      <c r="D50" t="str">
        <f>IF(A50="","",0.133*'Info Cuencas'!R50)</f>
        <v/>
      </c>
      <c r="F50" s="6" t="str">
        <f>IF(A50="","",0.6*'Info Cuencas'!R50+HUS!E50/2)</f>
        <v/>
      </c>
    </row>
    <row r="51" spans="1:6" x14ac:dyDescent="0.3">
      <c r="A51" t="str">
        <f>IF(ISBLANK('Info Cuencas'!A51),"",'Info Cuencas'!A51)</f>
        <v/>
      </c>
      <c r="B51" s="4" t="str">
        <f>IF(A51="","",'Info Cuencas'!B51)</f>
        <v/>
      </c>
      <c r="C51" s="4" t="str">
        <f>IF(A51="","",'Info Cuencas'!C51)</f>
        <v/>
      </c>
      <c r="D51" t="str">
        <f>IF(A51="","",0.133*'Info Cuencas'!R51)</f>
        <v/>
      </c>
      <c r="F51" s="6" t="str">
        <f>IF(A51="","",0.6*'Info Cuencas'!R51+HUS!E51/2)</f>
        <v/>
      </c>
    </row>
    <row r="52" spans="1:6" x14ac:dyDescent="0.3">
      <c r="A52" t="str">
        <f>IF(ISBLANK('Info Cuencas'!A52),"",'Info Cuencas'!A52)</f>
        <v/>
      </c>
      <c r="B52" s="4" t="str">
        <f>IF(A52="","",'Info Cuencas'!B52)</f>
        <v/>
      </c>
      <c r="C52" s="4" t="str">
        <f>IF(A52="","",'Info Cuencas'!C52)</f>
        <v/>
      </c>
      <c r="D52" t="str">
        <f>IF(A52="","",0.133*'Info Cuencas'!R52)</f>
        <v/>
      </c>
      <c r="F52" s="6" t="str">
        <f>IF(A52="","",0.6*'Info Cuencas'!R52+HUS!E52/2)</f>
        <v/>
      </c>
    </row>
    <row r="53" spans="1:6" x14ac:dyDescent="0.3">
      <c r="A53" t="str">
        <f>IF(ISBLANK('Info Cuencas'!A53),"",'Info Cuencas'!A53)</f>
        <v/>
      </c>
      <c r="B53" s="4" t="str">
        <f>IF(A53="","",'Info Cuencas'!B53)</f>
        <v/>
      </c>
      <c r="C53" s="4" t="str">
        <f>IF(A53="","",'Info Cuencas'!C53)</f>
        <v/>
      </c>
      <c r="D53" t="str">
        <f>IF(A53="","",0.133*'Info Cuencas'!R53)</f>
        <v/>
      </c>
      <c r="F53" s="6" t="str">
        <f>IF(A53="","",0.6*'Info Cuencas'!R53+HUS!E53/2)</f>
        <v/>
      </c>
    </row>
    <row r="54" spans="1:6" x14ac:dyDescent="0.3">
      <c r="A54" t="str">
        <f>IF(ISBLANK('Info Cuencas'!A54),"",'Info Cuencas'!A54)</f>
        <v/>
      </c>
      <c r="B54" s="4" t="str">
        <f>IF(A54="","",'Info Cuencas'!B54)</f>
        <v/>
      </c>
      <c r="C54" s="4" t="str">
        <f>IF(A54="","",'Info Cuencas'!C54)</f>
        <v/>
      </c>
      <c r="D54" t="str">
        <f>IF(A54="","",0.133*'Info Cuencas'!R54)</f>
        <v/>
      </c>
      <c r="F54" s="6" t="str">
        <f>IF(A54="","",0.6*'Info Cuencas'!R54+HUS!E54/2)</f>
        <v/>
      </c>
    </row>
    <row r="55" spans="1:6" x14ac:dyDescent="0.3">
      <c r="A55" t="str">
        <f>IF(ISBLANK('Info Cuencas'!A55),"",'Info Cuencas'!A55)</f>
        <v/>
      </c>
      <c r="B55" s="4" t="str">
        <f>IF(A55="","",'Info Cuencas'!B55)</f>
        <v/>
      </c>
      <c r="C55" s="4" t="str">
        <f>IF(A55="","",'Info Cuencas'!C55)</f>
        <v/>
      </c>
      <c r="D55" t="str">
        <f>IF(A55="","",0.133*'Info Cuencas'!R55)</f>
        <v/>
      </c>
      <c r="F55" s="6" t="str">
        <f>IF(A55="","",0.6*'Info Cuencas'!R55+HUS!E55/2)</f>
        <v/>
      </c>
    </row>
    <row r="56" spans="1:6" x14ac:dyDescent="0.3">
      <c r="A56" t="str">
        <f>IF(ISBLANK('Info Cuencas'!A56),"",'Info Cuencas'!A56)</f>
        <v/>
      </c>
      <c r="B56" s="4" t="str">
        <f>IF(A56="","",'Info Cuencas'!B56)</f>
        <v/>
      </c>
      <c r="C56" s="4" t="str">
        <f>IF(A56="","",'Info Cuencas'!C56)</f>
        <v/>
      </c>
      <c r="D56" t="str">
        <f>IF(A56="","",0.133*'Info Cuencas'!R56)</f>
        <v/>
      </c>
      <c r="F56" s="6" t="str">
        <f>IF(A56="","",0.6*'Info Cuencas'!R56+HUS!E56/2)</f>
        <v/>
      </c>
    </row>
    <row r="57" spans="1:6" x14ac:dyDescent="0.3">
      <c r="A57" t="str">
        <f>IF(ISBLANK('Info Cuencas'!A57),"",'Info Cuencas'!A57)</f>
        <v/>
      </c>
      <c r="B57" s="4" t="str">
        <f>IF(A57="","",'Info Cuencas'!B57)</f>
        <v/>
      </c>
      <c r="C57" s="4" t="str">
        <f>IF(A57="","",'Info Cuencas'!C57)</f>
        <v/>
      </c>
      <c r="D57" t="str">
        <f>IF(A57="","",0.133*'Info Cuencas'!R57)</f>
        <v/>
      </c>
      <c r="F57" s="6" t="str">
        <f>IF(A57="","",0.6*'Info Cuencas'!R57+HUS!E57/2)</f>
        <v/>
      </c>
    </row>
    <row r="58" spans="1:6" x14ac:dyDescent="0.3">
      <c r="A58" t="str">
        <f>IF(ISBLANK('Info Cuencas'!A58),"",'Info Cuencas'!A58)</f>
        <v/>
      </c>
      <c r="B58" s="4" t="str">
        <f>IF(A58="","",'Info Cuencas'!B58)</f>
        <v/>
      </c>
      <c r="C58" s="4" t="str">
        <f>IF(A58="","",'Info Cuencas'!C58)</f>
        <v/>
      </c>
      <c r="D58" t="str">
        <f>IF(A58="","",0.133*'Info Cuencas'!R58)</f>
        <v/>
      </c>
      <c r="F58" s="6" t="str">
        <f>IF(A58="","",0.6*'Info Cuencas'!R58+HUS!E58/2)</f>
        <v/>
      </c>
    </row>
    <row r="59" spans="1:6" x14ac:dyDescent="0.3">
      <c r="A59" t="str">
        <f>IF(ISBLANK('Info Cuencas'!A59),"",'Info Cuencas'!A59)</f>
        <v/>
      </c>
      <c r="B59" s="4" t="str">
        <f>IF(A59="","",'Info Cuencas'!B59)</f>
        <v/>
      </c>
      <c r="C59" s="4" t="str">
        <f>IF(A59="","",'Info Cuencas'!C59)</f>
        <v/>
      </c>
      <c r="D59" t="str">
        <f>IF(A59="","",0.133*'Info Cuencas'!R59)</f>
        <v/>
      </c>
      <c r="F59" s="6" t="str">
        <f>IF(A59="","",0.6*'Info Cuencas'!R59+HUS!E59/2)</f>
        <v/>
      </c>
    </row>
    <row r="60" spans="1:6" x14ac:dyDescent="0.3">
      <c r="A60" t="str">
        <f>IF(ISBLANK('Info Cuencas'!A60),"",'Info Cuencas'!A60)</f>
        <v/>
      </c>
      <c r="B60" s="4" t="str">
        <f>IF(A60="","",'Info Cuencas'!B60)</f>
        <v/>
      </c>
      <c r="C60" s="4" t="str">
        <f>IF(A60="","",'Info Cuencas'!C60)</f>
        <v/>
      </c>
      <c r="D60" t="str">
        <f>IF(A60="","",0.133*'Info Cuencas'!R60)</f>
        <v/>
      </c>
      <c r="F60" s="6" t="str">
        <f>IF(A60="","",0.6*'Info Cuencas'!R60+HUS!E60/2)</f>
        <v/>
      </c>
    </row>
    <row r="61" spans="1:6" x14ac:dyDescent="0.3">
      <c r="A61" t="str">
        <f>IF(ISBLANK('Info Cuencas'!A61),"",'Info Cuencas'!A61)</f>
        <v/>
      </c>
      <c r="B61" s="4" t="str">
        <f>IF(A61="","",'Info Cuencas'!B61)</f>
        <v/>
      </c>
      <c r="C61" s="4" t="str">
        <f>IF(A61="","",'Info Cuencas'!C61)</f>
        <v/>
      </c>
      <c r="D61" t="str">
        <f>IF(A61="","",0.133*'Info Cuencas'!R61)</f>
        <v/>
      </c>
      <c r="F61" s="6" t="str">
        <f>IF(A61="","",0.6*'Info Cuencas'!R61+HUS!E61/2)</f>
        <v/>
      </c>
    </row>
    <row r="62" spans="1:6" x14ac:dyDescent="0.3">
      <c r="A62" t="str">
        <f>IF(ISBLANK('Info Cuencas'!A62),"",'Info Cuencas'!A62)</f>
        <v/>
      </c>
      <c r="B62" s="4" t="str">
        <f>IF(A62="","",'Info Cuencas'!B62)</f>
        <v/>
      </c>
      <c r="C62" s="4" t="str">
        <f>IF(A62="","",'Info Cuencas'!C62)</f>
        <v/>
      </c>
      <c r="D62" t="str">
        <f>IF(A62="","",0.133*'Info Cuencas'!R62)</f>
        <v/>
      </c>
      <c r="F62" s="6" t="str">
        <f>IF(A62="","",0.6*'Info Cuencas'!R62+HUS!E62/2)</f>
        <v/>
      </c>
    </row>
    <row r="63" spans="1:6" x14ac:dyDescent="0.3">
      <c r="A63" t="str">
        <f>IF(ISBLANK('Info Cuencas'!A63),"",'Info Cuencas'!A63)</f>
        <v/>
      </c>
      <c r="B63" s="4" t="str">
        <f>IF(A63="","",'Info Cuencas'!B63)</f>
        <v/>
      </c>
      <c r="C63" s="4" t="str">
        <f>IF(A63="","",'Info Cuencas'!C63)</f>
        <v/>
      </c>
      <c r="D63" t="str">
        <f>IF(A63="","",0.133*'Info Cuencas'!R63)</f>
        <v/>
      </c>
      <c r="F63" s="6" t="str">
        <f>IF(A63="","",0.6*'Info Cuencas'!R63+HUS!E63/2)</f>
        <v/>
      </c>
    </row>
    <row r="64" spans="1:6" x14ac:dyDescent="0.3">
      <c r="A64" t="str">
        <f>IF(ISBLANK('Info Cuencas'!A64),"",'Info Cuencas'!A64)</f>
        <v/>
      </c>
      <c r="B64" s="4" t="str">
        <f>IF(A64="","",'Info Cuencas'!B64)</f>
        <v/>
      </c>
      <c r="C64" s="4" t="str">
        <f>IF(A64="","",'Info Cuencas'!C64)</f>
        <v/>
      </c>
      <c r="D64" t="str">
        <f>IF(A64="","",0.133*'Info Cuencas'!R64)</f>
        <v/>
      </c>
      <c r="F64" s="6" t="str">
        <f>IF(A64="","",0.6*'Info Cuencas'!R64+HUS!E64/2)</f>
        <v/>
      </c>
    </row>
    <row r="65" spans="1:6" x14ac:dyDescent="0.3">
      <c r="A65" t="str">
        <f>IF(ISBLANK('Info Cuencas'!A65),"",'Info Cuencas'!A65)</f>
        <v/>
      </c>
      <c r="B65" s="4" t="str">
        <f>IF(A65="","",'Info Cuencas'!B65)</f>
        <v/>
      </c>
      <c r="C65" s="4" t="str">
        <f>IF(A65="","",'Info Cuencas'!C65)</f>
        <v/>
      </c>
      <c r="D65" t="str">
        <f>IF(A65="","",0.133*'Info Cuencas'!R65)</f>
        <v/>
      </c>
      <c r="F65" s="6" t="str">
        <f>IF(A65="","",0.6*'Info Cuencas'!R65+HUS!E65/2)</f>
        <v/>
      </c>
    </row>
    <row r="66" spans="1:6" x14ac:dyDescent="0.3">
      <c r="A66" t="str">
        <f>IF(ISBLANK('Info Cuencas'!A66),"",'Info Cuencas'!A66)</f>
        <v/>
      </c>
      <c r="B66" s="4" t="str">
        <f>IF(A66="","",'Info Cuencas'!B66)</f>
        <v/>
      </c>
      <c r="C66" s="4" t="str">
        <f>IF(A66="","",'Info Cuencas'!C66)</f>
        <v/>
      </c>
      <c r="D66" t="str">
        <f>IF(A66="","",0.133*'Info Cuencas'!R66)</f>
        <v/>
      </c>
      <c r="F66" s="6" t="str">
        <f>IF(A66="","",0.6*'Info Cuencas'!R66+HUS!E66/2)</f>
        <v/>
      </c>
    </row>
    <row r="67" spans="1:6" x14ac:dyDescent="0.3">
      <c r="A67" t="str">
        <f>IF(ISBLANK('Info Cuencas'!A67),"",'Info Cuencas'!A67)</f>
        <v/>
      </c>
      <c r="B67" s="4" t="str">
        <f>IF(A67="","",'Info Cuencas'!B67)</f>
        <v/>
      </c>
      <c r="C67" s="4" t="str">
        <f>IF(A67="","",'Info Cuencas'!C67)</f>
        <v/>
      </c>
      <c r="D67" t="str">
        <f>IF(A67="","",0.133*'Info Cuencas'!R67)</f>
        <v/>
      </c>
      <c r="F67" s="6" t="str">
        <f>IF(A67="","",0.6*'Info Cuencas'!R67+HUS!E67/2)</f>
        <v/>
      </c>
    </row>
    <row r="68" spans="1:6" x14ac:dyDescent="0.3">
      <c r="A68" t="str">
        <f>IF(ISBLANK('Info Cuencas'!A68),"",'Info Cuencas'!A68)</f>
        <v/>
      </c>
      <c r="B68" s="4" t="str">
        <f>IF(A68="","",'Info Cuencas'!B68)</f>
        <v/>
      </c>
      <c r="C68" s="4" t="str">
        <f>IF(A68="","",'Info Cuencas'!C68)</f>
        <v/>
      </c>
      <c r="D68" t="str">
        <f>IF(A68="","",0.133*'Info Cuencas'!R68)</f>
        <v/>
      </c>
      <c r="F68" s="6" t="str">
        <f>IF(A68="","",0.6*'Info Cuencas'!R68+HUS!E68/2)</f>
        <v/>
      </c>
    </row>
    <row r="69" spans="1:6" x14ac:dyDescent="0.3">
      <c r="A69" t="str">
        <f>IF(ISBLANK('Info Cuencas'!A69),"",'Info Cuencas'!A69)</f>
        <v/>
      </c>
      <c r="B69" s="4" t="str">
        <f>IF(A69="","",'Info Cuencas'!B69)</f>
        <v/>
      </c>
      <c r="C69" s="4" t="str">
        <f>IF(A69="","",'Info Cuencas'!C69)</f>
        <v/>
      </c>
      <c r="D69" t="str">
        <f>IF(A69="","",0.133*'Info Cuencas'!R69)</f>
        <v/>
      </c>
      <c r="F69" s="6" t="str">
        <f>IF(A69="","",0.6*'Info Cuencas'!R69+HUS!E69/2)</f>
        <v/>
      </c>
    </row>
    <row r="70" spans="1:6" x14ac:dyDescent="0.3">
      <c r="A70" t="str">
        <f>IF(ISBLANK('Info Cuencas'!A70),"",'Info Cuencas'!A70)</f>
        <v/>
      </c>
      <c r="B70" s="4" t="str">
        <f>IF(A70="","",'Info Cuencas'!B70)</f>
        <v/>
      </c>
      <c r="C70" s="4" t="str">
        <f>IF(A70="","",'Info Cuencas'!C70)</f>
        <v/>
      </c>
      <c r="D70" t="str">
        <f>IF(A70="","",0.133*'Info Cuencas'!R70)</f>
        <v/>
      </c>
      <c r="F70" s="6" t="str">
        <f>IF(A70="","",0.6*'Info Cuencas'!R70+HUS!E70/2)</f>
        <v/>
      </c>
    </row>
    <row r="71" spans="1:6" x14ac:dyDescent="0.3">
      <c r="A71" t="str">
        <f>IF(ISBLANK('Info Cuencas'!A71),"",'Info Cuencas'!A71)</f>
        <v/>
      </c>
      <c r="B71" s="4" t="str">
        <f>IF(A71="","",'Info Cuencas'!B71)</f>
        <v/>
      </c>
      <c r="C71" s="4" t="str">
        <f>IF(A71="","",'Info Cuencas'!C71)</f>
        <v/>
      </c>
      <c r="D71" t="str">
        <f>IF(A71="","",0.133*'Info Cuencas'!R71)</f>
        <v/>
      </c>
      <c r="F71" s="6" t="str">
        <f>IF(A71="","",0.6*'Info Cuencas'!R71+HUS!E71/2)</f>
        <v/>
      </c>
    </row>
    <row r="72" spans="1:6" x14ac:dyDescent="0.3">
      <c r="A72" t="str">
        <f>IF(ISBLANK('Info Cuencas'!A72),"",'Info Cuencas'!A72)</f>
        <v/>
      </c>
      <c r="B72" s="4" t="str">
        <f>IF(A72="","",'Info Cuencas'!B72)</f>
        <v/>
      </c>
      <c r="C72" s="4" t="str">
        <f>IF(A72="","",'Info Cuencas'!C72)</f>
        <v/>
      </c>
      <c r="D72" t="str">
        <f>IF(A72="","",0.133*'Info Cuencas'!R72)</f>
        <v/>
      </c>
      <c r="F72" s="6" t="str">
        <f>IF(A72="","",0.6*'Info Cuencas'!R72+HUS!E72/2)</f>
        <v/>
      </c>
    </row>
    <row r="73" spans="1:6" x14ac:dyDescent="0.3">
      <c r="A73" t="str">
        <f>IF(ISBLANK('Info Cuencas'!A73),"",'Info Cuencas'!A73)</f>
        <v/>
      </c>
      <c r="B73" s="4" t="str">
        <f>IF(A73="","",'Info Cuencas'!B73)</f>
        <v/>
      </c>
      <c r="C73" s="4" t="str">
        <f>IF(A73="","",'Info Cuencas'!C73)</f>
        <v/>
      </c>
      <c r="D73" t="str">
        <f>IF(A73="","",0.133*'Info Cuencas'!R73)</f>
        <v/>
      </c>
      <c r="F73" s="6" t="str">
        <f>IF(A73="","",0.6*'Info Cuencas'!R73+HUS!E73/2)</f>
        <v/>
      </c>
    </row>
    <row r="74" spans="1:6" x14ac:dyDescent="0.3">
      <c r="A74" t="str">
        <f>IF(ISBLANK('Info Cuencas'!A74),"",'Info Cuencas'!A74)</f>
        <v/>
      </c>
      <c r="B74" s="4" t="str">
        <f>IF(A74="","",'Info Cuencas'!B74)</f>
        <v/>
      </c>
      <c r="C74" s="4" t="str">
        <f>IF(A74="","",'Info Cuencas'!C74)</f>
        <v/>
      </c>
      <c r="D74" t="str">
        <f>IF(A74="","",0.133*'Info Cuencas'!R74)</f>
        <v/>
      </c>
      <c r="F74" s="6" t="str">
        <f>IF(A74="","",0.6*'Info Cuencas'!R74+HUS!E74/2)</f>
        <v/>
      </c>
    </row>
    <row r="75" spans="1:6" x14ac:dyDescent="0.3">
      <c r="A75" t="str">
        <f>IF(ISBLANK('Info Cuencas'!A75),"",'Info Cuencas'!A75)</f>
        <v/>
      </c>
      <c r="B75" s="4" t="str">
        <f>IF(A75="","",'Info Cuencas'!B75)</f>
        <v/>
      </c>
      <c r="C75" s="4" t="str">
        <f>IF(A75="","",'Info Cuencas'!C75)</f>
        <v/>
      </c>
      <c r="D75" t="str">
        <f>IF(A75="","",0.133*'Info Cuencas'!R75)</f>
        <v/>
      </c>
      <c r="F75" s="6" t="str">
        <f>IF(A75="","",0.6*'Info Cuencas'!R75+HUS!E75/2)</f>
        <v/>
      </c>
    </row>
    <row r="76" spans="1:6" x14ac:dyDescent="0.3">
      <c r="A76" t="str">
        <f>IF(ISBLANK('Info Cuencas'!A76),"",'Info Cuencas'!A76)</f>
        <v/>
      </c>
      <c r="B76" s="4" t="str">
        <f>IF(A76="","",'Info Cuencas'!B76)</f>
        <v/>
      </c>
      <c r="C76" s="4" t="str">
        <f>IF(A76="","",'Info Cuencas'!C76)</f>
        <v/>
      </c>
      <c r="D76" t="str">
        <f>IF(A76="","",0.133*'Info Cuencas'!R76)</f>
        <v/>
      </c>
      <c r="F76" s="6" t="str">
        <f>IF(A76="","",0.6*'Info Cuencas'!R76+HUS!E76/2)</f>
        <v/>
      </c>
    </row>
    <row r="77" spans="1:6" x14ac:dyDescent="0.3">
      <c r="A77" t="str">
        <f>IF(ISBLANK('Info Cuencas'!A77),"",'Info Cuencas'!A77)</f>
        <v/>
      </c>
      <c r="B77" s="4" t="str">
        <f>IF(A77="","",'Info Cuencas'!B77)</f>
        <v/>
      </c>
      <c r="C77" s="4" t="str">
        <f>IF(A77="","",'Info Cuencas'!C77)</f>
        <v/>
      </c>
      <c r="D77" t="str">
        <f>IF(A77="","",0.133*'Info Cuencas'!R77)</f>
        <v/>
      </c>
      <c r="F77" s="6" t="str">
        <f>IF(A77="","",0.6*'Info Cuencas'!R77+HUS!E77/2)</f>
        <v/>
      </c>
    </row>
    <row r="78" spans="1:6" x14ac:dyDescent="0.3">
      <c r="A78" t="str">
        <f>IF(ISBLANK('Info Cuencas'!A78),"",'Info Cuencas'!A78)</f>
        <v/>
      </c>
      <c r="B78" s="4" t="str">
        <f>IF(A78="","",'Info Cuencas'!B78)</f>
        <v/>
      </c>
      <c r="C78" s="4" t="str">
        <f>IF(A78="","",'Info Cuencas'!C78)</f>
        <v/>
      </c>
      <c r="D78" t="str">
        <f>IF(A78="","",0.133*'Info Cuencas'!R78)</f>
        <v/>
      </c>
      <c r="F78" s="6" t="str">
        <f>IF(A78="","",0.6*'Info Cuencas'!R78+HUS!E78/2)</f>
        <v/>
      </c>
    </row>
    <row r="79" spans="1:6" x14ac:dyDescent="0.3">
      <c r="A79" t="str">
        <f>IF(ISBLANK('Info Cuencas'!A79),"",'Info Cuencas'!A79)</f>
        <v/>
      </c>
      <c r="B79" s="4" t="str">
        <f>IF(A79="","",'Info Cuencas'!B79)</f>
        <v/>
      </c>
      <c r="C79" s="4" t="str">
        <f>IF(A79="","",'Info Cuencas'!C79)</f>
        <v/>
      </c>
      <c r="D79" t="str">
        <f>IF(A79="","",0.133*'Info Cuencas'!R79)</f>
        <v/>
      </c>
      <c r="F79" s="6" t="str">
        <f>IF(A79="","",0.6*'Info Cuencas'!R79+HUS!E79/2)</f>
        <v/>
      </c>
    </row>
    <row r="80" spans="1:6" x14ac:dyDescent="0.3">
      <c r="A80" t="str">
        <f>IF(ISBLANK('Info Cuencas'!A80),"",'Info Cuencas'!A80)</f>
        <v/>
      </c>
      <c r="B80" s="4" t="str">
        <f>IF(A80="","",'Info Cuencas'!B80)</f>
        <v/>
      </c>
      <c r="C80" s="4" t="str">
        <f>IF(A80="","",'Info Cuencas'!C80)</f>
        <v/>
      </c>
      <c r="D80" t="str">
        <f>IF(A80="","",0.133*'Info Cuencas'!R80)</f>
        <v/>
      </c>
      <c r="F80" s="6" t="str">
        <f>IF(A80="","",0.6*'Info Cuencas'!R80+HUS!E80/2)</f>
        <v/>
      </c>
    </row>
    <row r="81" spans="1:6" x14ac:dyDescent="0.3">
      <c r="A81" t="str">
        <f>IF(ISBLANK('Info Cuencas'!A81),"",'Info Cuencas'!A81)</f>
        <v/>
      </c>
      <c r="B81" s="4" t="str">
        <f>IF(A81="","",'Info Cuencas'!B81)</f>
        <v/>
      </c>
      <c r="C81" s="4" t="str">
        <f>IF(A81="","",'Info Cuencas'!C81)</f>
        <v/>
      </c>
      <c r="D81" t="str">
        <f>IF(A81="","",0.133*'Info Cuencas'!R81)</f>
        <v/>
      </c>
      <c r="F81" s="6" t="str">
        <f>IF(A81="","",0.6*'Info Cuencas'!R81+HUS!E81/2)</f>
        <v/>
      </c>
    </row>
    <row r="82" spans="1:6" x14ac:dyDescent="0.3">
      <c r="A82" t="str">
        <f>IF(ISBLANK('Info Cuencas'!A82),"",'Info Cuencas'!A82)</f>
        <v/>
      </c>
      <c r="B82" s="4" t="str">
        <f>IF(A82="","",'Info Cuencas'!B82)</f>
        <v/>
      </c>
      <c r="C82" s="4" t="str">
        <f>IF(A82="","",'Info Cuencas'!C82)</f>
        <v/>
      </c>
      <c r="D82" t="str">
        <f>IF(A82="","",0.133*'Info Cuencas'!R82)</f>
        <v/>
      </c>
      <c r="F82" s="6" t="str">
        <f>IF(A82="","",0.6*'Info Cuencas'!R82+HUS!E82/2)</f>
        <v/>
      </c>
    </row>
    <row r="83" spans="1:6" x14ac:dyDescent="0.3">
      <c r="A83" t="str">
        <f>IF(ISBLANK('Info Cuencas'!A83),"",'Info Cuencas'!A83)</f>
        <v/>
      </c>
      <c r="B83" s="4" t="str">
        <f>IF(A83="","",'Info Cuencas'!B83)</f>
        <v/>
      </c>
      <c r="C83" s="4" t="str">
        <f>IF(A83="","",'Info Cuencas'!C83)</f>
        <v/>
      </c>
      <c r="D83" t="str">
        <f>IF(A83="","",0.133*'Info Cuencas'!R83)</f>
        <v/>
      </c>
      <c r="F83" s="6" t="str">
        <f>IF(A83="","",0.6*'Info Cuencas'!R83+HUS!E83/2)</f>
        <v/>
      </c>
    </row>
    <row r="84" spans="1:6" x14ac:dyDescent="0.3">
      <c r="A84" t="str">
        <f>IF(ISBLANK('Info Cuencas'!A84),"",'Info Cuencas'!A84)</f>
        <v/>
      </c>
      <c r="B84" s="4" t="str">
        <f>IF(A84="","",'Info Cuencas'!B84)</f>
        <v/>
      </c>
      <c r="C84" s="4" t="str">
        <f>IF(A84="","",'Info Cuencas'!C84)</f>
        <v/>
      </c>
      <c r="D84" t="str">
        <f>IF(A84="","",0.133*'Info Cuencas'!R84)</f>
        <v/>
      </c>
      <c r="F84" s="6" t="str">
        <f>IF(A84="","",0.6*'Info Cuencas'!R84+HUS!E84/2)</f>
        <v/>
      </c>
    </row>
    <row r="85" spans="1:6" x14ac:dyDescent="0.3">
      <c r="A85" t="str">
        <f>IF(ISBLANK('Info Cuencas'!A85),"",'Info Cuencas'!A85)</f>
        <v/>
      </c>
      <c r="B85" s="4" t="str">
        <f>IF(A85="","",'Info Cuencas'!B85)</f>
        <v/>
      </c>
      <c r="C85" s="4" t="str">
        <f>IF(A85="","",'Info Cuencas'!C85)</f>
        <v/>
      </c>
      <c r="D85" t="str">
        <f>IF(A85="","",0.133*'Info Cuencas'!R85)</f>
        <v/>
      </c>
      <c r="F85" s="6" t="str">
        <f>IF(A85="","",0.6*'Info Cuencas'!R85+HUS!E85/2)</f>
        <v/>
      </c>
    </row>
    <row r="86" spans="1:6" x14ac:dyDescent="0.3">
      <c r="A86" t="str">
        <f>IF(ISBLANK('Info Cuencas'!A86),"",'Info Cuencas'!A86)</f>
        <v/>
      </c>
      <c r="B86" s="4" t="str">
        <f>IF(A86="","",'Info Cuencas'!B86)</f>
        <v/>
      </c>
      <c r="C86" s="4" t="str">
        <f>IF(A86="","",'Info Cuencas'!C86)</f>
        <v/>
      </c>
      <c r="D86" t="str">
        <f>IF(A86="","",0.133*'Info Cuencas'!R86)</f>
        <v/>
      </c>
      <c r="F86" s="6" t="str">
        <f>IF(A86="","",0.6*'Info Cuencas'!R86+HUS!E86/2)</f>
        <v/>
      </c>
    </row>
    <row r="87" spans="1:6" x14ac:dyDescent="0.3">
      <c r="A87" t="str">
        <f>IF(ISBLANK('Info Cuencas'!A87),"",'Info Cuencas'!A87)</f>
        <v/>
      </c>
      <c r="B87" s="4" t="str">
        <f>IF(A87="","",'Info Cuencas'!B87)</f>
        <v/>
      </c>
      <c r="C87" s="4" t="str">
        <f>IF(A87="","",'Info Cuencas'!C87)</f>
        <v/>
      </c>
      <c r="D87" t="str">
        <f>IF(A87="","",0.133*'Info Cuencas'!R87)</f>
        <v/>
      </c>
      <c r="F87" s="6" t="str">
        <f>IF(A87="","",0.6*'Info Cuencas'!R87+HUS!E87/2)</f>
        <v/>
      </c>
    </row>
    <row r="88" spans="1:6" x14ac:dyDescent="0.3">
      <c r="A88" t="str">
        <f>IF(ISBLANK('Info Cuencas'!A88),"",'Info Cuencas'!A88)</f>
        <v/>
      </c>
      <c r="B88" s="4" t="str">
        <f>IF(A88="","",'Info Cuencas'!B88)</f>
        <v/>
      </c>
      <c r="C88" s="4" t="str">
        <f>IF(A88="","",'Info Cuencas'!C88)</f>
        <v/>
      </c>
      <c r="D88" t="str">
        <f>IF(A88="","",0.133*'Info Cuencas'!R88)</f>
        <v/>
      </c>
      <c r="F88" s="6" t="str">
        <f>IF(A88="","",0.6*'Info Cuencas'!R88+HUS!E88/2)</f>
        <v/>
      </c>
    </row>
    <row r="89" spans="1:6" x14ac:dyDescent="0.3">
      <c r="A89" t="str">
        <f>IF(ISBLANK('Info Cuencas'!A89),"",'Info Cuencas'!A89)</f>
        <v/>
      </c>
      <c r="B89" s="4" t="str">
        <f>IF(A89="","",'Info Cuencas'!B89)</f>
        <v/>
      </c>
      <c r="C89" s="4" t="str">
        <f>IF(A89="","",'Info Cuencas'!C89)</f>
        <v/>
      </c>
      <c r="D89" t="str">
        <f>IF(A89="","",0.133*'Info Cuencas'!R89)</f>
        <v/>
      </c>
      <c r="F89" s="6" t="str">
        <f>IF(A89="","",0.6*'Info Cuencas'!R89+HUS!E89/2)</f>
        <v/>
      </c>
    </row>
    <row r="90" spans="1:6" x14ac:dyDescent="0.3">
      <c r="A90" t="str">
        <f>IF(ISBLANK('Info Cuencas'!A90),"",'Info Cuencas'!A90)</f>
        <v/>
      </c>
      <c r="B90" s="4" t="str">
        <f>IF(A90="","",'Info Cuencas'!B90)</f>
        <v/>
      </c>
      <c r="C90" s="4" t="str">
        <f>IF(A90="","",'Info Cuencas'!C90)</f>
        <v/>
      </c>
      <c r="D90" t="str">
        <f>IF(A90="","",0.133*'Info Cuencas'!R90)</f>
        <v/>
      </c>
      <c r="F90" s="6" t="str">
        <f>IF(A90="","",0.6*'Info Cuencas'!R90+HUS!E90/2)</f>
        <v/>
      </c>
    </row>
    <row r="91" spans="1:6" x14ac:dyDescent="0.3">
      <c r="A91" t="str">
        <f>IF(ISBLANK('Info Cuencas'!A91),"",'Info Cuencas'!A91)</f>
        <v/>
      </c>
      <c r="B91" s="4" t="str">
        <f>IF(A91="","",'Info Cuencas'!B91)</f>
        <v/>
      </c>
      <c r="C91" s="4" t="str">
        <f>IF(A91="","",'Info Cuencas'!C91)</f>
        <v/>
      </c>
      <c r="D91" t="str">
        <f>IF(A91="","",0.133*'Info Cuencas'!R91)</f>
        <v/>
      </c>
      <c r="F91" s="6" t="str">
        <f>IF(A91="","",0.6*'Info Cuencas'!R91+HUS!E91/2)</f>
        <v/>
      </c>
    </row>
    <row r="92" spans="1:6" x14ac:dyDescent="0.3">
      <c r="A92" t="str">
        <f>IF(ISBLANK('Info Cuencas'!A92),"",'Info Cuencas'!A92)</f>
        <v/>
      </c>
      <c r="B92" s="4" t="str">
        <f>IF(A92="","",'Info Cuencas'!B92)</f>
        <v/>
      </c>
      <c r="C92" s="4" t="str">
        <f>IF(A92="","",'Info Cuencas'!C92)</f>
        <v/>
      </c>
      <c r="D92" t="str">
        <f>IF(A92="","",0.133*'Info Cuencas'!R92)</f>
        <v/>
      </c>
      <c r="F92" s="6" t="str">
        <f>IF(A92="","",0.6*'Info Cuencas'!R92+HUS!E92/2)</f>
        <v/>
      </c>
    </row>
    <row r="93" spans="1:6" x14ac:dyDescent="0.3">
      <c r="A93" t="str">
        <f>IF(ISBLANK('Info Cuencas'!A93),"",'Info Cuencas'!A93)</f>
        <v/>
      </c>
      <c r="B93" s="4" t="str">
        <f>IF(A93="","",'Info Cuencas'!B93)</f>
        <v/>
      </c>
      <c r="C93" s="4" t="str">
        <f>IF(A93="","",'Info Cuencas'!C93)</f>
        <v/>
      </c>
      <c r="D93" t="str">
        <f>IF(A93="","",0.133*'Info Cuencas'!R93)</f>
        <v/>
      </c>
      <c r="F93" s="6" t="str">
        <f>IF(A93="","",0.6*'Info Cuencas'!R93+HUS!E93/2)</f>
        <v/>
      </c>
    </row>
    <row r="94" spans="1:6" x14ac:dyDescent="0.3">
      <c r="A94" t="str">
        <f>IF(ISBLANK('Info Cuencas'!A94),"",'Info Cuencas'!A94)</f>
        <v/>
      </c>
      <c r="B94" s="4" t="str">
        <f>IF(A94="","",'Info Cuencas'!B94)</f>
        <v/>
      </c>
      <c r="C94" s="4" t="str">
        <f>IF(A94="","",'Info Cuencas'!C94)</f>
        <v/>
      </c>
      <c r="D94" t="str">
        <f>IF(A94="","",0.133*'Info Cuencas'!R94)</f>
        <v/>
      </c>
      <c r="F94" s="6" t="str">
        <f>IF(A94="","",0.6*'Info Cuencas'!R94+HUS!E94/2)</f>
        <v/>
      </c>
    </row>
    <row r="95" spans="1:6" x14ac:dyDescent="0.3">
      <c r="A95" t="str">
        <f>IF(ISBLANK('Info Cuencas'!A95),"",'Info Cuencas'!A95)</f>
        <v/>
      </c>
      <c r="B95" s="4" t="str">
        <f>IF(A95="","",'Info Cuencas'!B95)</f>
        <v/>
      </c>
      <c r="C95" s="4" t="str">
        <f>IF(A95="","",'Info Cuencas'!C95)</f>
        <v/>
      </c>
      <c r="D95" t="str">
        <f>IF(A95="","",0.133*'Info Cuencas'!R95)</f>
        <v/>
      </c>
      <c r="F95" s="6" t="str">
        <f>IF(A95="","",0.6*'Info Cuencas'!R95+HUS!E95/2)</f>
        <v/>
      </c>
    </row>
    <row r="96" spans="1:6" x14ac:dyDescent="0.3">
      <c r="A96" t="str">
        <f>IF(ISBLANK('Info Cuencas'!A96),"",'Info Cuencas'!A96)</f>
        <v/>
      </c>
      <c r="B96" s="4" t="str">
        <f>IF(A96="","",'Info Cuencas'!B96)</f>
        <v/>
      </c>
      <c r="C96" s="4" t="str">
        <f>IF(A96="","",'Info Cuencas'!C96)</f>
        <v/>
      </c>
      <c r="D96" t="str">
        <f>IF(A96="","",0.133*'Info Cuencas'!R96)</f>
        <v/>
      </c>
      <c r="F96" s="6" t="str">
        <f>IF(A96="","",0.6*'Info Cuencas'!R96+HUS!E96/2)</f>
        <v/>
      </c>
    </row>
    <row r="97" spans="1:6" x14ac:dyDescent="0.3">
      <c r="A97" t="str">
        <f>IF(ISBLANK('Info Cuencas'!A97),"",'Info Cuencas'!A97)</f>
        <v/>
      </c>
      <c r="B97" s="4" t="str">
        <f>IF(A97="","",'Info Cuencas'!B97)</f>
        <v/>
      </c>
      <c r="C97" s="4" t="str">
        <f>IF(A97="","",'Info Cuencas'!C97)</f>
        <v/>
      </c>
      <c r="D97" t="str">
        <f>IF(A97="","",0.133*'Info Cuencas'!R97)</f>
        <v/>
      </c>
      <c r="F97" s="6" t="str">
        <f>IF(A97="","",0.6*'Info Cuencas'!R97+HUS!E97/2)</f>
        <v/>
      </c>
    </row>
    <row r="98" spans="1:6" x14ac:dyDescent="0.3">
      <c r="A98" t="str">
        <f>IF(ISBLANK('Info Cuencas'!A98),"",'Info Cuencas'!A98)</f>
        <v/>
      </c>
      <c r="B98" s="4" t="str">
        <f>IF(A98="","",'Info Cuencas'!B98)</f>
        <v/>
      </c>
      <c r="C98" s="4" t="str">
        <f>IF(A98="","",'Info Cuencas'!C98)</f>
        <v/>
      </c>
      <c r="D98" t="str">
        <f>IF(A98="","",0.133*'Info Cuencas'!R98)</f>
        <v/>
      </c>
      <c r="F98" s="6" t="str">
        <f>IF(A98="","",0.6*'Info Cuencas'!R98+HUS!E98/2)</f>
        <v/>
      </c>
    </row>
    <row r="99" spans="1:6" x14ac:dyDescent="0.3">
      <c r="A99" t="str">
        <f>IF(ISBLANK('Info Cuencas'!A99),"",'Info Cuencas'!A99)</f>
        <v/>
      </c>
      <c r="B99" s="4" t="str">
        <f>IF(A99="","",'Info Cuencas'!B99)</f>
        <v/>
      </c>
      <c r="C99" s="4" t="str">
        <f>IF(A99="","",'Info Cuencas'!C99)</f>
        <v/>
      </c>
      <c r="D99" t="str">
        <f>IF(A99="","",0.133*'Info Cuencas'!R99)</f>
        <v/>
      </c>
      <c r="F99" s="6" t="str">
        <f>IF(A99="","",0.6*'Info Cuencas'!R99+HUS!E99/2)</f>
        <v/>
      </c>
    </row>
    <row r="100" spans="1:6" x14ac:dyDescent="0.3">
      <c r="A100" t="str">
        <f>IF(ISBLANK('Info Cuencas'!A100),"",'Info Cuencas'!A100)</f>
        <v/>
      </c>
      <c r="B100" s="4" t="str">
        <f>IF(A100="","",'Info Cuencas'!B100)</f>
        <v/>
      </c>
      <c r="C100" s="4" t="str">
        <f>IF(A100="","",'Info Cuencas'!C100)</f>
        <v/>
      </c>
      <c r="D100" t="str">
        <f>IF(A100="","",0.133*'Info Cuencas'!R100)</f>
        <v/>
      </c>
      <c r="F100" s="6" t="str">
        <f>IF(A100="","",0.6*'Info Cuencas'!R100+HUS!E100/2)</f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BBB4-B484-4DEC-873C-57082AA401DF}">
  <sheetPr codeName="Sheet3"/>
  <dimension ref="A1:ALL10"/>
  <sheetViews>
    <sheetView workbookViewId="0">
      <selection activeCell="C15" sqref="C15"/>
    </sheetView>
  </sheetViews>
  <sheetFormatPr defaultRowHeight="14.4" x14ac:dyDescent="0.3"/>
  <sheetData>
    <row r="1" spans="1:1000" x14ac:dyDescent="0.3">
      <c r="A1" s="13" t="s">
        <v>25</v>
      </c>
      <c r="B1" t="str" cm="1">
        <f t="array" ref="B1:ALL1">IF(TRANSPOSE('Info Cuencas'!A2:A1000)=0,"",TRANSPOSE('Info Cuencas'!A2:A1000))</f>
        <v>C_01_CL</v>
      </c>
      <c r="C1" t="str">
        <v>C_02_CL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  <c r="FC1" t="str">
        <v/>
      </c>
      <c r="FD1" t="str">
        <v/>
      </c>
      <c r="FE1" t="str">
        <v/>
      </c>
      <c r="FF1" t="str">
        <v/>
      </c>
      <c r="FG1" t="str">
        <v/>
      </c>
      <c r="FH1" t="str">
        <v/>
      </c>
      <c r="FI1" t="str">
        <v/>
      </c>
      <c r="FJ1" t="str">
        <v/>
      </c>
      <c r="FK1" t="str">
        <v/>
      </c>
      <c r="FL1" t="str">
        <v/>
      </c>
      <c r="FM1" t="str">
        <v/>
      </c>
      <c r="FN1" t="str">
        <v/>
      </c>
      <c r="FO1" t="str">
        <v/>
      </c>
      <c r="FP1" t="str">
        <v/>
      </c>
      <c r="FQ1" t="str">
        <v/>
      </c>
      <c r="FR1" t="str">
        <v/>
      </c>
      <c r="FS1" t="str">
        <v/>
      </c>
      <c r="FT1" t="str">
        <v/>
      </c>
      <c r="FU1" t="str">
        <v/>
      </c>
      <c r="FV1" t="str">
        <v/>
      </c>
      <c r="FW1" t="str">
        <v/>
      </c>
      <c r="FX1" t="str">
        <v/>
      </c>
      <c r="FY1" t="str">
        <v/>
      </c>
      <c r="FZ1" t="str">
        <v/>
      </c>
      <c r="GA1" t="str">
        <v/>
      </c>
      <c r="GB1" t="str">
        <v/>
      </c>
      <c r="GC1" t="str">
        <v/>
      </c>
      <c r="GD1" t="str">
        <v/>
      </c>
      <c r="GE1" t="str">
        <v/>
      </c>
      <c r="GF1" t="str">
        <v/>
      </c>
      <c r="GG1" t="str">
        <v/>
      </c>
      <c r="GH1" t="str">
        <v/>
      </c>
      <c r="GI1" t="str">
        <v/>
      </c>
      <c r="GJ1" t="str">
        <v/>
      </c>
      <c r="GK1" t="str">
        <v/>
      </c>
      <c r="GL1" t="str">
        <v/>
      </c>
      <c r="GM1" t="str">
        <v/>
      </c>
      <c r="GN1" t="str">
        <v/>
      </c>
      <c r="GO1" t="str">
        <v/>
      </c>
      <c r="GP1" t="str">
        <v/>
      </c>
      <c r="GQ1" t="str">
        <v/>
      </c>
      <c r="GR1" t="str">
        <v/>
      </c>
      <c r="GS1" t="str">
        <v/>
      </c>
      <c r="GT1" t="str">
        <v/>
      </c>
      <c r="GU1" t="str">
        <v/>
      </c>
      <c r="GV1" t="str">
        <v/>
      </c>
      <c r="GW1" t="str">
        <v/>
      </c>
      <c r="GX1" t="str">
        <v/>
      </c>
      <c r="GY1" t="str">
        <v/>
      </c>
      <c r="GZ1" t="str">
        <v/>
      </c>
      <c r="HA1" t="str">
        <v/>
      </c>
      <c r="HB1" t="str">
        <v/>
      </c>
      <c r="HC1" t="str">
        <v/>
      </c>
      <c r="HD1" t="str">
        <v/>
      </c>
      <c r="HE1" t="str">
        <v/>
      </c>
      <c r="HF1" t="str">
        <v/>
      </c>
      <c r="HG1" t="str">
        <v/>
      </c>
      <c r="HH1" t="str">
        <v/>
      </c>
      <c r="HI1" t="str">
        <v/>
      </c>
      <c r="HJ1" t="str">
        <v/>
      </c>
      <c r="HK1" t="str">
        <v/>
      </c>
      <c r="HL1" t="str">
        <v/>
      </c>
      <c r="HM1" t="str">
        <v/>
      </c>
      <c r="HN1" t="str">
        <v/>
      </c>
      <c r="HO1" t="str">
        <v/>
      </c>
      <c r="HP1" t="str">
        <v/>
      </c>
      <c r="HQ1" t="str">
        <v/>
      </c>
      <c r="HR1" t="str">
        <v/>
      </c>
      <c r="HS1" t="str">
        <v/>
      </c>
      <c r="HT1" t="str">
        <v/>
      </c>
      <c r="HU1" t="str">
        <v/>
      </c>
      <c r="HV1" t="str">
        <v/>
      </c>
      <c r="HW1" t="str">
        <v/>
      </c>
      <c r="HX1" t="str">
        <v/>
      </c>
      <c r="HY1" t="str">
        <v/>
      </c>
      <c r="HZ1" t="str">
        <v/>
      </c>
      <c r="IA1" t="str">
        <v/>
      </c>
      <c r="IB1" t="str">
        <v/>
      </c>
      <c r="IC1" t="str">
        <v/>
      </c>
      <c r="ID1" t="str">
        <v/>
      </c>
      <c r="IE1" t="str">
        <v/>
      </c>
      <c r="IF1" t="str">
        <v/>
      </c>
      <c r="IG1" t="str">
        <v/>
      </c>
      <c r="IH1" t="str">
        <v/>
      </c>
      <c r="II1" t="str">
        <v/>
      </c>
      <c r="IJ1" t="str">
        <v/>
      </c>
      <c r="IK1" t="str">
        <v/>
      </c>
      <c r="IL1" t="str">
        <v/>
      </c>
      <c r="IM1" t="str">
        <v/>
      </c>
      <c r="IN1" t="str">
        <v/>
      </c>
      <c r="IO1" t="str">
        <v/>
      </c>
      <c r="IP1" t="str">
        <v/>
      </c>
      <c r="IQ1" t="str">
        <v/>
      </c>
      <c r="IR1" t="str">
        <v/>
      </c>
      <c r="IS1" t="str">
        <v/>
      </c>
      <c r="IT1" t="str">
        <v/>
      </c>
      <c r="IU1" t="str">
        <v/>
      </c>
      <c r="IV1" t="str">
        <v/>
      </c>
      <c r="IW1" t="str">
        <v/>
      </c>
      <c r="IX1" t="str">
        <v/>
      </c>
      <c r="IY1" t="str">
        <v/>
      </c>
      <c r="IZ1" t="str">
        <v/>
      </c>
      <c r="JA1" t="str">
        <v/>
      </c>
      <c r="JB1" t="str">
        <v/>
      </c>
      <c r="JC1" t="str">
        <v/>
      </c>
      <c r="JD1" t="str">
        <v/>
      </c>
      <c r="JE1" t="str">
        <v/>
      </c>
      <c r="JF1" t="str">
        <v/>
      </c>
      <c r="JG1" t="str">
        <v/>
      </c>
      <c r="JH1" t="str">
        <v/>
      </c>
      <c r="JI1" t="str">
        <v/>
      </c>
      <c r="JJ1" t="str">
        <v/>
      </c>
      <c r="JK1" t="str">
        <v/>
      </c>
      <c r="JL1" t="str">
        <v/>
      </c>
      <c r="JM1" t="str">
        <v/>
      </c>
      <c r="JN1" t="str">
        <v/>
      </c>
      <c r="JO1" t="str">
        <v/>
      </c>
      <c r="JP1" t="str">
        <v/>
      </c>
      <c r="JQ1" t="str">
        <v/>
      </c>
      <c r="JR1" t="str">
        <v/>
      </c>
      <c r="JS1" t="str">
        <v/>
      </c>
      <c r="JT1" t="str">
        <v/>
      </c>
      <c r="JU1" t="str">
        <v/>
      </c>
      <c r="JV1" t="str">
        <v/>
      </c>
      <c r="JW1" t="str">
        <v/>
      </c>
      <c r="JX1" t="str">
        <v/>
      </c>
      <c r="JY1" t="str">
        <v/>
      </c>
      <c r="JZ1" t="str">
        <v/>
      </c>
      <c r="KA1" t="str">
        <v/>
      </c>
      <c r="KB1" t="str">
        <v/>
      </c>
      <c r="KC1" t="str">
        <v/>
      </c>
      <c r="KD1" t="str">
        <v/>
      </c>
      <c r="KE1" t="str">
        <v/>
      </c>
      <c r="KF1" t="str">
        <v/>
      </c>
      <c r="KG1" t="str">
        <v/>
      </c>
      <c r="KH1" t="str">
        <v/>
      </c>
      <c r="KI1" t="str">
        <v/>
      </c>
      <c r="KJ1" t="str">
        <v/>
      </c>
      <c r="KK1" t="str">
        <v/>
      </c>
      <c r="KL1" t="str">
        <v/>
      </c>
      <c r="KM1" t="str">
        <v/>
      </c>
      <c r="KN1" t="str">
        <v/>
      </c>
      <c r="KO1" t="str">
        <v/>
      </c>
      <c r="KP1" t="str">
        <v/>
      </c>
      <c r="KQ1" t="str">
        <v/>
      </c>
      <c r="KR1" t="str">
        <v/>
      </c>
      <c r="KS1" t="str">
        <v/>
      </c>
      <c r="KT1" t="str">
        <v/>
      </c>
      <c r="KU1" t="str">
        <v/>
      </c>
      <c r="KV1" t="str">
        <v/>
      </c>
      <c r="KW1" t="str">
        <v/>
      </c>
      <c r="KX1" t="str">
        <v/>
      </c>
      <c r="KY1" t="str">
        <v/>
      </c>
      <c r="KZ1" t="str">
        <v/>
      </c>
      <c r="LA1" t="str">
        <v/>
      </c>
      <c r="LB1" t="str">
        <v/>
      </c>
      <c r="LC1" t="str">
        <v/>
      </c>
      <c r="LD1" t="str">
        <v/>
      </c>
      <c r="LE1" t="str">
        <v/>
      </c>
      <c r="LF1" t="str">
        <v/>
      </c>
      <c r="LG1" t="str">
        <v/>
      </c>
      <c r="LH1" t="str">
        <v/>
      </c>
      <c r="LI1" t="str">
        <v/>
      </c>
      <c r="LJ1" t="str">
        <v/>
      </c>
      <c r="LK1" t="str">
        <v/>
      </c>
      <c r="LL1" t="str">
        <v/>
      </c>
      <c r="LM1" t="str">
        <v/>
      </c>
      <c r="LN1" t="str">
        <v/>
      </c>
      <c r="LO1" t="str">
        <v/>
      </c>
      <c r="LP1" t="str">
        <v/>
      </c>
      <c r="LQ1" t="str">
        <v/>
      </c>
      <c r="LR1" t="str">
        <v/>
      </c>
      <c r="LS1" t="str">
        <v/>
      </c>
      <c r="LT1" t="str">
        <v/>
      </c>
      <c r="LU1" t="str">
        <v/>
      </c>
      <c r="LV1" t="str">
        <v/>
      </c>
      <c r="LW1" t="str">
        <v/>
      </c>
      <c r="LX1" t="str">
        <v/>
      </c>
      <c r="LY1" t="str">
        <v/>
      </c>
      <c r="LZ1" t="str">
        <v/>
      </c>
      <c r="MA1" t="str">
        <v/>
      </c>
      <c r="MB1" t="str">
        <v/>
      </c>
      <c r="MC1" t="str">
        <v/>
      </c>
      <c r="MD1" t="str">
        <v/>
      </c>
      <c r="ME1" t="str">
        <v/>
      </c>
      <c r="MF1" t="str">
        <v/>
      </c>
      <c r="MG1" t="str">
        <v/>
      </c>
      <c r="MH1" t="str">
        <v/>
      </c>
      <c r="MI1" t="str">
        <v/>
      </c>
      <c r="MJ1" t="str">
        <v/>
      </c>
      <c r="MK1" t="str">
        <v/>
      </c>
      <c r="ML1" t="str">
        <v/>
      </c>
      <c r="MM1" t="str">
        <v/>
      </c>
      <c r="MN1" t="str">
        <v/>
      </c>
      <c r="MO1" t="str">
        <v/>
      </c>
      <c r="MP1" t="str">
        <v/>
      </c>
      <c r="MQ1" t="str">
        <v/>
      </c>
      <c r="MR1" t="str">
        <v/>
      </c>
      <c r="MS1" t="str">
        <v/>
      </c>
      <c r="MT1" t="str">
        <v/>
      </c>
      <c r="MU1" t="str">
        <v/>
      </c>
      <c r="MV1" t="str">
        <v/>
      </c>
      <c r="MW1" t="str">
        <v/>
      </c>
      <c r="MX1" t="str">
        <v/>
      </c>
      <c r="MY1" t="str">
        <v/>
      </c>
      <c r="MZ1" t="str">
        <v/>
      </c>
      <c r="NA1" t="str">
        <v/>
      </c>
      <c r="NB1" t="str">
        <v/>
      </c>
      <c r="NC1" t="str">
        <v/>
      </c>
      <c r="ND1" t="str">
        <v/>
      </c>
      <c r="NE1" t="str">
        <v/>
      </c>
      <c r="NF1" t="str">
        <v/>
      </c>
      <c r="NG1" t="str">
        <v/>
      </c>
      <c r="NH1" t="str">
        <v/>
      </c>
      <c r="NI1" t="str">
        <v/>
      </c>
      <c r="NJ1" t="str">
        <v/>
      </c>
      <c r="NK1" t="str">
        <v/>
      </c>
      <c r="NL1" t="str">
        <v/>
      </c>
      <c r="NM1" t="str">
        <v/>
      </c>
      <c r="NN1" t="str">
        <v/>
      </c>
      <c r="NO1" t="str">
        <v/>
      </c>
      <c r="NP1" t="str">
        <v/>
      </c>
      <c r="NQ1" t="str">
        <v/>
      </c>
      <c r="NR1" t="str">
        <v/>
      </c>
      <c r="NS1" t="str">
        <v/>
      </c>
      <c r="NT1" t="str">
        <v/>
      </c>
      <c r="NU1" t="str">
        <v/>
      </c>
      <c r="NV1" t="str">
        <v/>
      </c>
      <c r="NW1" t="str">
        <v/>
      </c>
      <c r="NX1" t="str">
        <v/>
      </c>
      <c r="NY1" t="str">
        <v/>
      </c>
      <c r="NZ1" t="str">
        <v/>
      </c>
      <c r="OA1" t="str">
        <v/>
      </c>
      <c r="OB1" t="str">
        <v/>
      </c>
      <c r="OC1" t="str">
        <v/>
      </c>
      <c r="OD1" t="str">
        <v/>
      </c>
      <c r="OE1" t="str">
        <v/>
      </c>
      <c r="OF1" t="str">
        <v/>
      </c>
      <c r="OG1" t="str">
        <v/>
      </c>
      <c r="OH1" t="str">
        <v/>
      </c>
      <c r="OI1" t="str">
        <v/>
      </c>
      <c r="OJ1" t="str">
        <v/>
      </c>
      <c r="OK1" t="str">
        <v/>
      </c>
      <c r="OL1" t="str">
        <v/>
      </c>
      <c r="OM1" t="str">
        <v/>
      </c>
      <c r="ON1" t="str">
        <v/>
      </c>
      <c r="OO1" t="str">
        <v/>
      </c>
      <c r="OP1" t="str">
        <v/>
      </c>
      <c r="OQ1" t="str">
        <v/>
      </c>
      <c r="OR1" t="str">
        <v/>
      </c>
      <c r="OS1" t="str">
        <v/>
      </c>
      <c r="OT1" t="str">
        <v/>
      </c>
      <c r="OU1" t="str">
        <v/>
      </c>
      <c r="OV1" t="str">
        <v/>
      </c>
      <c r="OW1" t="str">
        <v/>
      </c>
      <c r="OX1" t="str">
        <v/>
      </c>
      <c r="OY1" t="str">
        <v/>
      </c>
      <c r="OZ1" t="str">
        <v/>
      </c>
      <c r="PA1" t="str">
        <v/>
      </c>
      <c r="PB1" t="str">
        <v/>
      </c>
      <c r="PC1" t="str">
        <v/>
      </c>
      <c r="PD1" t="str">
        <v/>
      </c>
      <c r="PE1" t="str">
        <v/>
      </c>
      <c r="PF1" t="str">
        <v/>
      </c>
      <c r="PG1" t="str">
        <v/>
      </c>
      <c r="PH1" t="str">
        <v/>
      </c>
      <c r="PI1" t="str">
        <v/>
      </c>
      <c r="PJ1" t="str">
        <v/>
      </c>
      <c r="PK1" t="str">
        <v/>
      </c>
      <c r="PL1" t="str">
        <v/>
      </c>
      <c r="PM1" t="str">
        <v/>
      </c>
      <c r="PN1" t="str">
        <v/>
      </c>
      <c r="PO1" t="str">
        <v/>
      </c>
      <c r="PP1" t="str">
        <v/>
      </c>
      <c r="PQ1" t="str">
        <v/>
      </c>
      <c r="PR1" t="str">
        <v/>
      </c>
      <c r="PS1" t="str">
        <v/>
      </c>
      <c r="PT1" t="str">
        <v/>
      </c>
      <c r="PU1" t="str">
        <v/>
      </c>
      <c r="PV1" t="str">
        <v/>
      </c>
      <c r="PW1" t="str">
        <v/>
      </c>
      <c r="PX1" t="str">
        <v/>
      </c>
      <c r="PY1" t="str">
        <v/>
      </c>
      <c r="PZ1" t="str">
        <v/>
      </c>
      <c r="QA1" t="str">
        <v/>
      </c>
      <c r="QB1" t="str">
        <v/>
      </c>
      <c r="QC1" t="str">
        <v/>
      </c>
      <c r="QD1" t="str">
        <v/>
      </c>
      <c r="QE1" t="str">
        <v/>
      </c>
      <c r="QF1" t="str">
        <v/>
      </c>
      <c r="QG1" t="str">
        <v/>
      </c>
      <c r="QH1" t="str">
        <v/>
      </c>
      <c r="QI1" t="str">
        <v/>
      </c>
      <c r="QJ1" t="str">
        <v/>
      </c>
      <c r="QK1" t="str">
        <v/>
      </c>
      <c r="QL1" t="str">
        <v/>
      </c>
      <c r="QM1" t="str">
        <v/>
      </c>
      <c r="QN1" t="str">
        <v/>
      </c>
      <c r="QO1" t="str">
        <v/>
      </c>
      <c r="QP1" t="str">
        <v/>
      </c>
      <c r="QQ1" t="str">
        <v/>
      </c>
      <c r="QR1" t="str">
        <v/>
      </c>
      <c r="QS1" t="str">
        <v/>
      </c>
      <c r="QT1" t="str">
        <v/>
      </c>
      <c r="QU1" t="str">
        <v/>
      </c>
      <c r="QV1" t="str">
        <v/>
      </c>
      <c r="QW1" t="str">
        <v/>
      </c>
      <c r="QX1" t="str">
        <v/>
      </c>
      <c r="QY1" t="str">
        <v/>
      </c>
      <c r="QZ1" t="str">
        <v/>
      </c>
      <c r="RA1" t="str">
        <v/>
      </c>
      <c r="RB1" t="str">
        <v/>
      </c>
      <c r="RC1" t="str">
        <v/>
      </c>
      <c r="RD1" t="str">
        <v/>
      </c>
      <c r="RE1" t="str">
        <v/>
      </c>
      <c r="RF1" t="str">
        <v/>
      </c>
      <c r="RG1" t="str">
        <v/>
      </c>
      <c r="RH1" t="str">
        <v/>
      </c>
      <c r="RI1" t="str">
        <v/>
      </c>
      <c r="RJ1" t="str">
        <v/>
      </c>
      <c r="RK1" t="str">
        <v/>
      </c>
      <c r="RL1" t="str">
        <v/>
      </c>
      <c r="RM1" t="str">
        <v/>
      </c>
      <c r="RN1" t="str">
        <v/>
      </c>
      <c r="RO1" t="str">
        <v/>
      </c>
      <c r="RP1" t="str">
        <v/>
      </c>
      <c r="RQ1" t="str">
        <v/>
      </c>
      <c r="RR1" t="str">
        <v/>
      </c>
      <c r="RS1" t="str">
        <v/>
      </c>
      <c r="RT1" t="str">
        <v/>
      </c>
      <c r="RU1" t="str">
        <v/>
      </c>
      <c r="RV1" t="str">
        <v/>
      </c>
      <c r="RW1" t="str">
        <v/>
      </c>
      <c r="RX1" t="str">
        <v/>
      </c>
      <c r="RY1" t="str">
        <v/>
      </c>
      <c r="RZ1" t="str">
        <v/>
      </c>
      <c r="SA1" t="str">
        <v/>
      </c>
      <c r="SB1" t="str">
        <v/>
      </c>
      <c r="SC1" t="str">
        <v/>
      </c>
      <c r="SD1" t="str">
        <v/>
      </c>
      <c r="SE1" t="str">
        <v/>
      </c>
      <c r="SF1" t="str">
        <v/>
      </c>
      <c r="SG1" t="str">
        <v/>
      </c>
      <c r="SH1" t="str">
        <v/>
      </c>
      <c r="SI1" t="str">
        <v/>
      </c>
      <c r="SJ1" t="str">
        <v/>
      </c>
      <c r="SK1" t="str">
        <v/>
      </c>
      <c r="SL1" t="str">
        <v/>
      </c>
      <c r="SM1" t="str">
        <v/>
      </c>
      <c r="SN1" t="str">
        <v/>
      </c>
      <c r="SO1" t="str">
        <v/>
      </c>
      <c r="SP1" t="str">
        <v/>
      </c>
      <c r="SQ1" t="str">
        <v/>
      </c>
      <c r="SR1" t="str">
        <v/>
      </c>
      <c r="SS1" t="str">
        <v/>
      </c>
      <c r="ST1" t="str">
        <v/>
      </c>
      <c r="SU1" t="str">
        <v/>
      </c>
      <c r="SV1" t="str">
        <v/>
      </c>
      <c r="SW1" t="str">
        <v/>
      </c>
      <c r="SX1" t="str">
        <v/>
      </c>
      <c r="SY1" t="str">
        <v/>
      </c>
      <c r="SZ1" t="str">
        <v/>
      </c>
      <c r="TA1" t="str">
        <v/>
      </c>
      <c r="TB1" t="str">
        <v/>
      </c>
      <c r="TC1" t="str">
        <v/>
      </c>
      <c r="TD1" t="str">
        <v/>
      </c>
      <c r="TE1" t="str">
        <v/>
      </c>
      <c r="TF1" t="str">
        <v/>
      </c>
      <c r="TG1" t="str">
        <v/>
      </c>
      <c r="TH1" t="str">
        <v/>
      </c>
      <c r="TI1" t="str">
        <v/>
      </c>
      <c r="TJ1" t="str">
        <v/>
      </c>
      <c r="TK1" t="str">
        <v/>
      </c>
      <c r="TL1" t="str">
        <v/>
      </c>
      <c r="TM1" t="str">
        <v/>
      </c>
      <c r="TN1" t="str">
        <v/>
      </c>
      <c r="TO1" t="str">
        <v/>
      </c>
      <c r="TP1" t="str">
        <v/>
      </c>
      <c r="TQ1" t="str">
        <v/>
      </c>
      <c r="TR1" t="str">
        <v/>
      </c>
      <c r="TS1" t="str">
        <v/>
      </c>
      <c r="TT1" t="str">
        <v/>
      </c>
      <c r="TU1" t="str">
        <v/>
      </c>
      <c r="TV1" t="str">
        <v/>
      </c>
      <c r="TW1" t="str">
        <v/>
      </c>
      <c r="TX1" t="str">
        <v/>
      </c>
      <c r="TY1" t="str">
        <v/>
      </c>
      <c r="TZ1" t="str">
        <v/>
      </c>
      <c r="UA1" t="str">
        <v/>
      </c>
      <c r="UB1" t="str">
        <v/>
      </c>
      <c r="UC1" t="str">
        <v/>
      </c>
      <c r="UD1" t="str">
        <v/>
      </c>
      <c r="UE1" t="str">
        <v/>
      </c>
      <c r="UF1" t="str">
        <v/>
      </c>
      <c r="UG1" t="str">
        <v/>
      </c>
      <c r="UH1" t="str">
        <v/>
      </c>
      <c r="UI1" t="str">
        <v/>
      </c>
      <c r="UJ1" t="str">
        <v/>
      </c>
      <c r="UK1" t="str">
        <v/>
      </c>
      <c r="UL1" t="str">
        <v/>
      </c>
      <c r="UM1" t="str">
        <v/>
      </c>
      <c r="UN1" t="str">
        <v/>
      </c>
      <c r="UO1" t="str">
        <v/>
      </c>
      <c r="UP1" t="str">
        <v/>
      </c>
      <c r="UQ1" t="str">
        <v/>
      </c>
      <c r="UR1" t="str">
        <v/>
      </c>
      <c r="US1" t="str">
        <v/>
      </c>
      <c r="UT1" t="str">
        <v/>
      </c>
      <c r="UU1" t="str">
        <v/>
      </c>
      <c r="UV1" t="str">
        <v/>
      </c>
      <c r="UW1" t="str">
        <v/>
      </c>
      <c r="UX1" t="str">
        <v/>
      </c>
      <c r="UY1" t="str">
        <v/>
      </c>
      <c r="UZ1" t="str">
        <v/>
      </c>
      <c r="VA1" t="str">
        <v/>
      </c>
      <c r="VB1" t="str">
        <v/>
      </c>
      <c r="VC1" t="str">
        <v/>
      </c>
      <c r="VD1" t="str">
        <v/>
      </c>
      <c r="VE1" t="str">
        <v/>
      </c>
      <c r="VF1" t="str">
        <v/>
      </c>
      <c r="VG1" t="str">
        <v/>
      </c>
      <c r="VH1" t="str">
        <v/>
      </c>
      <c r="VI1" t="str">
        <v/>
      </c>
      <c r="VJ1" t="str">
        <v/>
      </c>
      <c r="VK1" t="str">
        <v/>
      </c>
      <c r="VL1" t="str">
        <v/>
      </c>
      <c r="VM1" t="str">
        <v/>
      </c>
      <c r="VN1" t="str">
        <v/>
      </c>
      <c r="VO1" t="str">
        <v/>
      </c>
      <c r="VP1" t="str">
        <v/>
      </c>
      <c r="VQ1" t="str">
        <v/>
      </c>
      <c r="VR1" t="str">
        <v/>
      </c>
      <c r="VS1" t="str">
        <v/>
      </c>
      <c r="VT1" t="str">
        <v/>
      </c>
      <c r="VU1" t="str">
        <v/>
      </c>
      <c r="VV1" t="str">
        <v/>
      </c>
      <c r="VW1" t="str">
        <v/>
      </c>
      <c r="VX1" t="str">
        <v/>
      </c>
      <c r="VY1" t="str">
        <v/>
      </c>
      <c r="VZ1" t="str">
        <v/>
      </c>
      <c r="WA1" t="str">
        <v/>
      </c>
      <c r="WB1" t="str">
        <v/>
      </c>
      <c r="WC1" t="str">
        <v/>
      </c>
      <c r="WD1" t="str">
        <v/>
      </c>
      <c r="WE1" t="str">
        <v/>
      </c>
      <c r="WF1" t="str">
        <v/>
      </c>
      <c r="WG1" t="str">
        <v/>
      </c>
      <c r="WH1" t="str">
        <v/>
      </c>
      <c r="WI1" t="str">
        <v/>
      </c>
      <c r="WJ1" t="str">
        <v/>
      </c>
      <c r="WK1" t="str">
        <v/>
      </c>
      <c r="WL1" t="str">
        <v/>
      </c>
      <c r="WM1" t="str">
        <v/>
      </c>
      <c r="WN1" t="str">
        <v/>
      </c>
      <c r="WO1" t="str">
        <v/>
      </c>
      <c r="WP1" t="str">
        <v/>
      </c>
      <c r="WQ1" t="str">
        <v/>
      </c>
      <c r="WR1" t="str">
        <v/>
      </c>
      <c r="WS1" t="str">
        <v/>
      </c>
      <c r="WT1" t="str">
        <v/>
      </c>
      <c r="WU1" t="str">
        <v/>
      </c>
      <c r="WV1" t="str">
        <v/>
      </c>
      <c r="WW1" t="str">
        <v/>
      </c>
      <c r="WX1" t="str">
        <v/>
      </c>
      <c r="WY1" t="str">
        <v/>
      </c>
      <c r="WZ1" t="str">
        <v/>
      </c>
      <c r="XA1" t="str">
        <v/>
      </c>
      <c r="XB1" t="str">
        <v/>
      </c>
      <c r="XC1" t="str">
        <v/>
      </c>
      <c r="XD1" t="str">
        <v/>
      </c>
      <c r="XE1" t="str">
        <v/>
      </c>
      <c r="XF1" t="str">
        <v/>
      </c>
      <c r="XG1" t="str">
        <v/>
      </c>
      <c r="XH1" t="str">
        <v/>
      </c>
      <c r="XI1" t="str">
        <v/>
      </c>
      <c r="XJ1" t="str">
        <v/>
      </c>
      <c r="XK1" t="str">
        <v/>
      </c>
      <c r="XL1" t="str">
        <v/>
      </c>
      <c r="XM1" t="str">
        <v/>
      </c>
      <c r="XN1" t="str">
        <v/>
      </c>
      <c r="XO1" t="str">
        <v/>
      </c>
      <c r="XP1" t="str">
        <v/>
      </c>
      <c r="XQ1" t="str">
        <v/>
      </c>
      <c r="XR1" t="str">
        <v/>
      </c>
      <c r="XS1" t="str">
        <v/>
      </c>
      <c r="XT1" t="str">
        <v/>
      </c>
      <c r="XU1" t="str">
        <v/>
      </c>
      <c r="XV1" t="str">
        <v/>
      </c>
      <c r="XW1" t="str">
        <v/>
      </c>
      <c r="XX1" t="str">
        <v/>
      </c>
      <c r="XY1" t="str">
        <v/>
      </c>
      <c r="XZ1" t="str">
        <v/>
      </c>
      <c r="YA1" t="str">
        <v/>
      </c>
      <c r="YB1" t="str">
        <v/>
      </c>
      <c r="YC1" t="str">
        <v/>
      </c>
      <c r="YD1" t="str">
        <v/>
      </c>
      <c r="YE1" t="str">
        <v/>
      </c>
      <c r="YF1" t="str">
        <v/>
      </c>
      <c r="YG1" t="str">
        <v/>
      </c>
      <c r="YH1" t="str">
        <v/>
      </c>
      <c r="YI1" t="str">
        <v/>
      </c>
      <c r="YJ1" t="str">
        <v/>
      </c>
      <c r="YK1" t="str">
        <v/>
      </c>
      <c r="YL1" t="str">
        <v/>
      </c>
      <c r="YM1" t="str">
        <v/>
      </c>
      <c r="YN1" t="str">
        <v/>
      </c>
      <c r="YO1" t="str">
        <v/>
      </c>
      <c r="YP1" t="str">
        <v/>
      </c>
      <c r="YQ1" t="str">
        <v/>
      </c>
      <c r="YR1" t="str">
        <v/>
      </c>
      <c r="YS1" t="str">
        <v/>
      </c>
      <c r="YT1" t="str">
        <v/>
      </c>
      <c r="YU1" t="str">
        <v/>
      </c>
      <c r="YV1" t="str">
        <v/>
      </c>
      <c r="YW1" t="str">
        <v/>
      </c>
      <c r="YX1" t="str">
        <v/>
      </c>
      <c r="YY1" t="str">
        <v/>
      </c>
      <c r="YZ1" t="str">
        <v/>
      </c>
      <c r="ZA1" t="str">
        <v/>
      </c>
      <c r="ZB1" t="str">
        <v/>
      </c>
      <c r="ZC1" t="str">
        <v/>
      </c>
      <c r="ZD1" t="str">
        <v/>
      </c>
      <c r="ZE1" t="str">
        <v/>
      </c>
      <c r="ZF1" t="str">
        <v/>
      </c>
      <c r="ZG1" t="str">
        <v/>
      </c>
      <c r="ZH1" t="str">
        <v/>
      </c>
      <c r="ZI1" t="str">
        <v/>
      </c>
      <c r="ZJ1" t="str">
        <v/>
      </c>
      <c r="ZK1" t="str">
        <v/>
      </c>
      <c r="ZL1" t="str">
        <v/>
      </c>
      <c r="ZM1" t="str">
        <v/>
      </c>
      <c r="ZN1" t="str">
        <v/>
      </c>
      <c r="ZO1" t="str">
        <v/>
      </c>
      <c r="ZP1" t="str">
        <v/>
      </c>
      <c r="ZQ1" t="str">
        <v/>
      </c>
      <c r="ZR1" t="str">
        <v/>
      </c>
      <c r="ZS1" t="str">
        <v/>
      </c>
      <c r="ZT1" t="str">
        <v/>
      </c>
      <c r="ZU1" t="str">
        <v/>
      </c>
      <c r="ZV1" t="str">
        <v/>
      </c>
      <c r="ZW1" t="str">
        <v/>
      </c>
      <c r="ZX1" t="str">
        <v/>
      </c>
      <c r="ZY1" t="str">
        <v/>
      </c>
      <c r="ZZ1" t="str">
        <v/>
      </c>
      <c r="AAA1" t="str">
        <v/>
      </c>
      <c r="AAB1" t="str">
        <v/>
      </c>
      <c r="AAC1" t="str">
        <v/>
      </c>
      <c r="AAD1" t="str">
        <v/>
      </c>
      <c r="AAE1" t="str">
        <v/>
      </c>
      <c r="AAF1" t="str">
        <v/>
      </c>
      <c r="AAG1" t="str">
        <v/>
      </c>
      <c r="AAH1" t="str">
        <v/>
      </c>
      <c r="AAI1" t="str">
        <v/>
      </c>
      <c r="AAJ1" t="str">
        <v/>
      </c>
      <c r="AAK1" t="str">
        <v/>
      </c>
      <c r="AAL1" t="str">
        <v/>
      </c>
      <c r="AAM1" t="str">
        <v/>
      </c>
      <c r="AAN1" t="str">
        <v/>
      </c>
      <c r="AAO1" t="str">
        <v/>
      </c>
      <c r="AAP1" t="str">
        <v/>
      </c>
      <c r="AAQ1" t="str">
        <v/>
      </c>
      <c r="AAR1" t="str">
        <v/>
      </c>
      <c r="AAS1" t="str">
        <v/>
      </c>
      <c r="AAT1" t="str">
        <v/>
      </c>
      <c r="AAU1" t="str">
        <v/>
      </c>
      <c r="AAV1" t="str">
        <v/>
      </c>
      <c r="AAW1" t="str">
        <v/>
      </c>
      <c r="AAX1" t="str">
        <v/>
      </c>
      <c r="AAY1" t="str">
        <v/>
      </c>
      <c r="AAZ1" t="str">
        <v/>
      </c>
      <c r="ABA1" t="str">
        <v/>
      </c>
      <c r="ABB1" t="str">
        <v/>
      </c>
      <c r="ABC1" t="str">
        <v/>
      </c>
      <c r="ABD1" t="str">
        <v/>
      </c>
      <c r="ABE1" t="str">
        <v/>
      </c>
      <c r="ABF1" t="str">
        <v/>
      </c>
      <c r="ABG1" t="str">
        <v/>
      </c>
      <c r="ABH1" t="str">
        <v/>
      </c>
      <c r="ABI1" t="str">
        <v/>
      </c>
      <c r="ABJ1" t="str">
        <v/>
      </c>
      <c r="ABK1" t="str">
        <v/>
      </c>
      <c r="ABL1" t="str">
        <v/>
      </c>
      <c r="ABM1" t="str">
        <v/>
      </c>
      <c r="ABN1" t="str">
        <v/>
      </c>
      <c r="ABO1" t="str">
        <v/>
      </c>
      <c r="ABP1" t="str">
        <v/>
      </c>
      <c r="ABQ1" t="str">
        <v/>
      </c>
      <c r="ABR1" t="str">
        <v/>
      </c>
      <c r="ABS1" t="str">
        <v/>
      </c>
      <c r="ABT1" t="str">
        <v/>
      </c>
      <c r="ABU1" t="str">
        <v/>
      </c>
      <c r="ABV1" t="str">
        <v/>
      </c>
      <c r="ABW1" t="str">
        <v/>
      </c>
      <c r="ABX1" t="str">
        <v/>
      </c>
      <c r="ABY1" t="str">
        <v/>
      </c>
      <c r="ABZ1" t="str">
        <v/>
      </c>
      <c r="ACA1" t="str">
        <v/>
      </c>
      <c r="ACB1" t="str">
        <v/>
      </c>
      <c r="ACC1" t="str">
        <v/>
      </c>
      <c r="ACD1" t="str">
        <v/>
      </c>
      <c r="ACE1" t="str">
        <v/>
      </c>
      <c r="ACF1" t="str">
        <v/>
      </c>
      <c r="ACG1" t="str">
        <v/>
      </c>
      <c r="ACH1" t="str">
        <v/>
      </c>
      <c r="ACI1" t="str">
        <v/>
      </c>
      <c r="ACJ1" t="str">
        <v/>
      </c>
      <c r="ACK1" t="str">
        <v/>
      </c>
      <c r="ACL1" t="str">
        <v/>
      </c>
      <c r="ACM1" t="str">
        <v/>
      </c>
      <c r="ACN1" t="str">
        <v/>
      </c>
      <c r="ACO1" t="str">
        <v/>
      </c>
      <c r="ACP1" t="str">
        <v/>
      </c>
      <c r="ACQ1" t="str">
        <v/>
      </c>
      <c r="ACR1" t="str">
        <v/>
      </c>
      <c r="ACS1" t="str">
        <v/>
      </c>
      <c r="ACT1" t="str">
        <v/>
      </c>
      <c r="ACU1" t="str">
        <v/>
      </c>
      <c r="ACV1" t="str">
        <v/>
      </c>
      <c r="ACW1" t="str">
        <v/>
      </c>
      <c r="ACX1" t="str">
        <v/>
      </c>
      <c r="ACY1" t="str">
        <v/>
      </c>
      <c r="ACZ1" t="str">
        <v/>
      </c>
      <c r="ADA1" t="str">
        <v/>
      </c>
      <c r="ADB1" t="str">
        <v/>
      </c>
      <c r="ADC1" t="str">
        <v/>
      </c>
      <c r="ADD1" t="str">
        <v/>
      </c>
      <c r="ADE1" t="str">
        <v/>
      </c>
      <c r="ADF1" t="str">
        <v/>
      </c>
      <c r="ADG1" t="str">
        <v/>
      </c>
      <c r="ADH1" t="str">
        <v/>
      </c>
      <c r="ADI1" t="str">
        <v/>
      </c>
      <c r="ADJ1" t="str">
        <v/>
      </c>
      <c r="ADK1" t="str">
        <v/>
      </c>
      <c r="ADL1" t="str">
        <v/>
      </c>
      <c r="ADM1" t="str">
        <v/>
      </c>
      <c r="ADN1" t="str">
        <v/>
      </c>
      <c r="ADO1" t="str">
        <v/>
      </c>
      <c r="ADP1" t="str">
        <v/>
      </c>
      <c r="ADQ1" t="str">
        <v/>
      </c>
      <c r="ADR1" t="str">
        <v/>
      </c>
      <c r="ADS1" t="str">
        <v/>
      </c>
      <c r="ADT1" t="str">
        <v/>
      </c>
      <c r="ADU1" t="str">
        <v/>
      </c>
      <c r="ADV1" t="str">
        <v/>
      </c>
      <c r="ADW1" t="str">
        <v/>
      </c>
      <c r="ADX1" t="str">
        <v/>
      </c>
      <c r="ADY1" t="str">
        <v/>
      </c>
      <c r="ADZ1" t="str">
        <v/>
      </c>
      <c r="AEA1" t="str">
        <v/>
      </c>
      <c r="AEB1" t="str">
        <v/>
      </c>
      <c r="AEC1" t="str">
        <v/>
      </c>
      <c r="AED1" t="str">
        <v/>
      </c>
      <c r="AEE1" t="str">
        <v/>
      </c>
      <c r="AEF1" t="str">
        <v/>
      </c>
      <c r="AEG1" t="str">
        <v/>
      </c>
      <c r="AEH1" t="str">
        <v/>
      </c>
      <c r="AEI1" t="str">
        <v/>
      </c>
      <c r="AEJ1" t="str">
        <v/>
      </c>
      <c r="AEK1" t="str">
        <v/>
      </c>
      <c r="AEL1" t="str">
        <v/>
      </c>
      <c r="AEM1" t="str">
        <v/>
      </c>
      <c r="AEN1" t="str">
        <v/>
      </c>
      <c r="AEO1" t="str">
        <v/>
      </c>
      <c r="AEP1" t="str">
        <v/>
      </c>
      <c r="AEQ1" t="str">
        <v/>
      </c>
      <c r="AER1" t="str">
        <v/>
      </c>
      <c r="AES1" t="str">
        <v/>
      </c>
      <c r="AET1" t="str">
        <v/>
      </c>
      <c r="AEU1" t="str">
        <v/>
      </c>
      <c r="AEV1" t="str">
        <v/>
      </c>
      <c r="AEW1" t="str">
        <v/>
      </c>
      <c r="AEX1" t="str">
        <v/>
      </c>
      <c r="AEY1" t="str">
        <v/>
      </c>
      <c r="AEZ1" t="str">
        <v/>
      </c>
      <c r="AFA1" t="str">
        <v/>
      </c>
      <c r="AFB1" t="str">
        <v/>
      </c>
      <c r="AFC1" t="str">
        <v/>
      </c>
      <c r="AFD1" t="str">
        <v/>
      </c>
      <c r="AFE1" t="str">
        <v/>
      </c>
      <c r="AFF1" t="str">
        <v/>
      </c>
      <c r="AFG1" t="str">
        <v/>
      </c>
      <c r="AFH1" t="str">
        <v/>
      </c>
      <c r="AFI1" t="str">
        <v/>
      </c>
      <c r="AFJ1" t="str">
        <v/>
      </c>
      <c r="AFK1" t="str">
        <v/>
      </c>
      <c r="AFL1" t="str">
        <v/>
      </c>
      <c r="AFM1" t="str">
        <v/>
      </c>
      <c r="AFN1" t="str">
        <v/>
      </c>
      <c r="AFO1" t="str">
        <v/>
      </c>
      <c r="AFP1" t="str">
        <v/>
      </c>
      <c r="AFQ1" t="str">
        <v/>
      </c>
      <c r="AFR1" t="str">
        <v/>
      </c>
      <c r="AFS1" t="str">
        <v/>
      </c>
      <c r="AFT1" t="str">
        <v/>
      </c>
      <c r="AFU1" t="str">
        <v/>
      </c>
      <c r="AFV1" t="str">
        <v/>
      </c>
      <c r="AFW1" t="str">
        <v/>
      </c>
      <c r="AFX1" t="str">
        <v/>
      </c>
      <c r="AFY1" t="str">
        <v/>
      </c>
      <c r="AFZ1" t="str">
        <v/>
      </c>
      <c r="AGA1" t="str">
        <v/>
      </c>
      <c r="AGB1" t="str">
        <v/>
      </c>
      <c r="AGC1" t="str">
        <v/>
      </c>
      <c r="AGD1" t="str">
        <v/>
      </c>
      <c r="AGE1" t="str">
        <v/>
      </c>
      <c r="AGF1" t="str">
        <v/>
      </c>
      <c r="AGG1" t="str">
        <v/>
      </c>
      <c r="AGH1" t="str">
        <v/>
      </c>
      <c r="AGI1" t="str">
        <v/>
      </c>
      <c r="AGJ1" t="str">
        <v/>
      </c>
      <c r="AGK1" t="str">
        <v/>
      </c>
      <c r="AGL1" t="str">
        <v/>
      </c>
      <c r="AGM1" t="str">
        <v/>
      </c>
      <c r="AGN1" t="str">
        <v/>
      </c>
      <c r="AGO1" t="str">
        <v/>
      </c>
      <c r="AGP1" t="str">
        <v/>
      </c>
      <c r="AGQ1" t="str">
        <v/>
      </c>
      <c r="AGR1" t="str">
        <v/>
      </c>
      <c r="AGS1" t="str">
        <v/>
      </c>
      <c r="AGT1" t="str">
        <v/>
      </c>
      <c r="AGU1" t="str">
        <v/>
      </c>
      <c r="AGV1" t="str">
        <v/>
      </c>
      <c r="AGW1" t="str">
        <v/>
      </c>
      <c r="AGX1" t="str">
        <v/>
      </c>
      <c r="AGY1" t="str">
        <v/>
      </c>
      <c r="AGZ1" t="str">
        <v/>
      </c>
      <c r="AHA1" t="str">
        <v/>
      </c>
      <c r="AHB1" t="str">
        <v/>
      </c>
      <c r="AHC1" t="str">
        <v/>
      </c>
      <c r="AHD1" t="str">
        <v/>
      </c>
      <c r="AHE1" t="str">
        <v/>
      </c>
      <c r="AHF1" t="str">
        <v/>
      </c>
      <c r="AHG1" t="str">
        <v/>
      </c>
      <c r="AHH1" t="str">
        <v/>
      </c>
      <c r="AHI1" t="str">
        <v/>
      </c>
      <c r="AHJ1" t="str">
        <v/>
      </c>
      <c r="AHK1" t="str">
        <v/>
      </c>
      <c r="AHL1" t="str">
        <v/>
      </c>
      <c r="AHM1" t="str">
        <v/>
      </c>
      <c r="AHN1" t="str">
        <v/>
      </c>
      <c r="AHO1" t="str">
        <v/>
      </c>
      <c r="AHP1" t="str">
        <v/>
      </c>
      <c r="AHQ1" t="str">
        <v/>
      </c>
      <c r="AHR1" t="str">
        <v/>
      </c>
      <c r="AHS1" t="str">
        <v/>
      </c>
      <c r="AHT1" t="str">
        <v/>
      </c>
      <c r="AHU1" t="str">
        <v/>
      </c>
      <c r="AHV1" t="str">
        <v/>
      </c>
      <c r="AHW1" t="str">
        <v/>
      </c>
      <c r="AHX1" t="str">
        <v/>
      </c>
      <c r="AHY1" t="str">
        <v/>
      </c>
      <c r="AHZ1" t="str">
        <v/>
      </c>
      <c r="AIA1" t="str">
        <v/>
      </c>
      <c r="AIB1" t="str">
        <v/>
      </c>
      <c r="AIC1" t="str">
        <v/>
      </c>
      <c r="AID1" t="str">
        <v/>
      </c>
      <c r="AIE1" t="str">
        <v/>
      </c>
      <c r="AIF1" t="str">
        <v/>
      </c>
      <c r="AIG1" t="str">
        <v/>
      </c>
      <c r="AIH1" t="str">
        <v/>
      </c>
      <c r="AII1" t="str">
        <v/>
      </c>
      <c r="AIJ1" t="str">
        <v/>
      </c>
      <c r="AIK1" t="str">
        <v/>
      </c>
      <c r="AIL1" t="str">
        <v/>
      </c>
      <c r="AIM1" t="str">
        <v/>
      </c>
      <c r="AIN1" t="str">
        <v/>
      </c>
      <c r="AIO1" t="str">
        <v/>
      </c>
      <c r="AIP1" t="str">
        <v/>
      </c>
      <c r="AIQ1" t="str">
        <v/>
      </c>
      <c r="AIR1" t="str">
        <v/>
      </c>
      <c r="AIS1" t="str">
        <v/>
      </c>
      <c r="AIT1" t="str">
        <v/>
      </c>
      <c r="AIU1" t="str">
        <v/>
      </c>
      <c r="AIV1" t="str">
        <v/>
      </c>
      <c r="AIW1" t="str">
        <v/>
      </c>
      <c r="AIX1" t="str">
        <v/>
      </c>
      <c r="AIY1" t="str">
        <v/>
      </c>
      <c r="AIZ1" t="str">
        <v/>
      </c>
      <c r="AJA1" t="str">
        <v/>
      </c>
      <c r="AJB1" t="str">
        <v/>
      </c>
      <c r="AJC1" t="str">
        <v/>
      </c>
      <c r="AJD1" t="str">
        <v/>
      </c>
      <c r="AJE1" t="str">
        <v/>
      </c>
      <c r="AJF1" t="str">
        <v/>
      </c>
      <c r="AJG1" t="str">
        <v/>
      </c>
      <c r="AJH1" t="str">
        <v/>
      </c>
      <c r="AJI1" t="str">
        <v/>
      </c>
      <c r="AJJ1" t="str">
        <v/>
      </c>
      <c r="AJK1" t="str">
        <v/>
      </c>
      <c r="AJL1" t="str">
        <v/>
      </c>
      <c r="AJM1" t="str">
        <v/>
      </c>
      <c r="AJN1" t="str">
        <v/>
      </c>
      <c r="AJO1" t="str">
        <v/>
      </c>
      <c r="AJP1" t="str">
        <v/>
      </c>
      <c r="AJQ1" t="str">
        <v/>
      </c>
      <c r="AJR1" t="str">
        <v/>
      </c>
      <c r="AJS1" t="str">
        <v/>
      </c>
      <c r="AJT1" t="str">
        <v/>
      </c>
      <c r="AJU1" t="str">
        <v/>
      </c>
      <c r="AJV1" t="str">
        <v/>
      </c>
      <c r="AJW1" t="str">
        <v/>
      </c>
      <c r="AJX1" t="str">
        <v/>
      </c>
      <c r="AJY1" t="str">
        <v/>
      </c>
      <c r="AJZ1" t="str">
        <v/>
      </c>
      <c r="AKA1" t="str">
        <v/>
      </c>
      <c r="AKB1" t="str">
        <v/>
      </c>
      <c r="AKC1" t="str">
        <v/>
      </c>
      <c r="AKD1" t="str">
        <v/>
      </c>
      <c r="AKE1" t="str">
        <v/>
      </c>
      <c r="AKF1" t="str">
        <v/>
      </c>
      <c r="AKG1" t="str">
        <v/>
      </c>
      <c r="AKH1" t="str">
        <v/>
      </c>
      <c r="AKI1" t="str">
        <v/>
      </c>
      <c r="AKJ1" t="str">
        <v/>
      </c>
      <c r="AKK1" t="str">
        <v/>
      </c>
      <c r="AKL1" t="str">
        <v/>
      </c>
      <c r="AKM1" t="str">
        <v/>
      </c>
      <c r="AKN1" t="str">
        <v/>
      </c>
      <c r="AKO1" t="str">
        <v/>
      </c>
      <c r="AKP1" t="str">
        <v/>
      </c>
      <c r="AKQ1" t="str">
        <v/>
      </c>
      <c r="AKR1" t="str">
        <v/>
      </c>
      <c r="AKS1" t="str">
        <v/>
      </c>
      <c r="AKT1" t="str">
        <v/>
      </c>
      <c r="AKU1" t="str">
        <v/>
      </c>
      <c r="AKV1" t="str">
        <v/>
      </c>
      <c r="AKW1" t="str">
        <v/>
      </c>
      <c r="AKX1" t="str">
        <v/>
      </c>
      <c r="AKY1" t="str">
        <v/>
      </c>
      <c r="AKZ1" t="str">
        <v/>
      </c>
      <c r="ALA1" t="str">
        <v/>
      </c>
      <c r="ALB1" t="str">
        <v/>
      </c>
      <c r="ALC1" t="str">
        <v/>
      </c>
      <c r="ALD1" t="str">
        <v/>
      </c>
      <c r="ALE1" t="str">
        <v/>
      </c>
      <c r="ALF1" t="str">
        <v/>
      </c>
      <c r="ALG1" t="str">
        <v/>
      </c>
      <c r="ALH1" t="str">
        <v/>
      </c>
      <c r="ALI1" t="str">
        <v/>
      </c>
      <c r="ALJ1" t="str">
        <v/>
      </c>
      <c r="ALK1" t="str">
        <v/>
      </c>
      <c r="ALL1" t="str">
        <v/>
      </c>
    </row>
    <row r="2" spans="1:1000" x14ac:dyDescent="0.3">
      <c r="A2" s="9">
        <v>2</v>
      </c>
      <c r="B2" s="4">
        <v>16.870809369354422</v>
      </c>
      <c r="C2" s="4">
        <v>17.969076714469335</v>
      </c>
    </row>
    <row r="3" spans="1:1000" x14ac:dyDescent="0.3">
      <c r="A3" s="9">
        <v>5</v>
      </c>
      <c r="B3" s="4">
        <v>36.426318663368143</v>
      </c>
      <c r="C3" s="4">
        <v>37.789158919797423</v>
      </c>
    </row>
    <row r="4" spans="1:1000" x14ac:dyDescent="0.3">
      <c r="A4" s="9">
        <v>10</v>
      </c>
      <c r="B4" s="4">
        <v>64.8600199840687</v>
      </c>
      <c r="C4" s="4">
        <v>69.798663682927625</v>
      </c>
    </row>
    <row r="5" spans="1:1000" x14ac:dyDescent="0.3">
      <c r="A5" s="9">
        <v>20</v>
      </c>
      <c r="B5" s="4">
        <v>107.45439769248219</v>
      </c>
      <c r="C5" s="4">
        <v>119.46405820001259</v>
      </c>
    </row>
    <row r="6" spans="1:1000" x14ac:dyDescent="0.3">
      <c r="A6" s="9">
        <v>25</v>
      </c>
      <c r="B6" s="4">
        <v>124.53759319840621</v>
      </c>
      <c r="C6" s="4">
        <v>139.65613722558817</v>
      </c>
    </row>
    <row r="7" spans="1:1000" x14ac:dyDescent="0.3">
      <c r="A7" s="9">
        <v>50</v>
      </c>
      <c r="B7" s="4">
        <v>189.25663528186786</v>
      </c>
      <c r="C7" s="4">
        <v>216.91364453208837</v>
      </c>
    </row>
    <row r="8" spans="1:1000" x14ac:dyDescent="0.3">
      <c r="A8" s="9">
        <v>100</v>
      </c>
      <c r="B8" s="4">
        <v>273.53095671068775</v>
      </c>
      <c r="C8" s="4">
        <v>318.56701982796545</v>
      </c>
    </row>
    <row r="9" spans="1:1000" x14ac:dyDescent="0.3">
      <c r="A9" s="9">
        <v>150</v>
      </c>
      <c r="B9" s="4">
        <v>326.78465066113125</v>
      </c>
      <c r="C9" s="4">
        <v>383.26556842471888</v>
      </c>
    </row>
    <row r="10" spans="1:1000" x14ac:dyDescent="0.3">
      <c r="A10" s="9">
        <v>200</v>
      </c>
      <c r="B10" s="4">
        <v>380.03834461157476</v>
      </c>
      <c r="C10" s="4">
        <v>447.96411702147219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C426-DF10-4E3D-8B05-2AE55E972C60}">
  <sheetPr codeName="Sheet4"/>
  <dimension ref="A1:ALL11"/>
  <sheetViews>
    <sheetView workbookViewId="0">
      <selection activeCell="G16" sqref="G16"/>
    </sheetView>
  </sheetViews>
  <sheetFormatPr defaultRowHeight="14.4" x14ac:dyDescent="0.3"/>
  <sheetData>
    <row r="1" spans="1:1000" x14ac:dyDescent="0.3">
      <c r="A1" t="s">
        <v>24</v>
      </c>
      <c r="B1" t="str" cm="1">
        <f t="array" ref="B1:ALL1">IF(TRANSPOSE('Info Cuencas'!A2:A1000)=0,"",TRANSPOSE('Info Cuencas'!A2:A1000))</f>
        <v>C_01_CL</v>
      </c>
      <c r="C1" t="str">
        <v>C_02_CL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  <c r="FC1" t="str">
        <v/>
      </c>
      <c r="FD1" t="str">
        <v/>
      </c>
      <c r="FE1" t="str">
        <v/>
      </c>
      <c r="FF1" t="str">
        <v/>
      </c>
      <c r="FG1" t="str">
        <v/>
      </c>
      <c r="FH1" t="str">
        <v/>
      </c>
      <c r="FI1" t="str">
        <v/>
      </c>
      <c r="FJ1" t="str">
        <v/>
      </c>
      <c r="FK1" t="str">
        <v/>
      </c>
      <c r="FL1" t="str">
        <v/>
      </c>
      <c r="FM1" t="str">
        <v/>
      </c>
      <c r="FN1" t="str">
        <v/>
      </c>
      <c r="FO1" t="str">
        <v/>
      </c>
      <c r="FP1" t="str">
        <v/>
      </c>
      <c r="FQ1" t="str">
        <v/>
      </c>
      <c r="FR1" t="str">
        <v/>
      </c>
      <c r="FS1" t="str">
        <v/>
      </c>
      <c r="FT1" t="str">
        <v/>
      </c>
      <c r="FU1" t="str">
        <v/>
      </c>
      <c r="FV1" t="str">
        <v/>
      </c>
      <c r="FW1" t="str">
        <v/>
      </c>
      <c r="FX1" t="str">
        <v/>
      </c>
      <c r="FY1" t="str">
        <v/>
      </c>
      <c r="FZ1" t="str">
        <v/>
      </c>
      <c r="GA1" t="str">
        <v/>
      </c>
      <c r="GB1" t="str">
        <v/>
      </c>
      <c r="GC1" t="str">
        <v/>
      </c>
      <c r="GD1" t="str">
        <v/>
      </c>
      <c r="GE1" t="str">
        <v/>
      </c>
      <c r="GF1" t="str">
        <v/>
      </c>
      <c r="GG1" t="str">
        <v/>
      </c>
      <c r="GH1" t="str">
        <v/>
      </c>
      <c r="GI1" t="str">
        <v/>
      </c>
      <c r="GJ1" t="str">
        <v/>
      </c>
      <c r="GK1" t="str">
        <v/>
      </c>
      <c r="GL1" t="str">
        <v/>
      </c>
      <c r="GM1" t="str">
        <v/>
      </c>
      <c r="GN1" t="str">
        <v/>
      </c>
      <c r="GO1" t="str">
        <v/>
      </c>
      <c r="GP1" t="str">
        <v/>
      </c>
      <c r="GQ1" t="str">
        <v/>
      </c>
      <c r="GR1" t="str">
        <v/>
      </c>
      <c r="GS1" t="str">
        <v/>
      </c>
      <c r="GT1" t="str">
        <v/>
      </c>
      <c r="GU1" t="str">
        <v/>
      </c>
      <c r="GV1" t="str">
        <v/>
      </c>
      <c r="GW1" t="str">
        <v/>
      </c>
      <c r="GX1" t="str">
        <v/>
      </c>
      <c r="GY1" t="str">
        <v/>
      </c>
      <c r="GZ1" t="str">
        <v/>
      </c>
      <c r="HA1" t="str">
        <v/>
      </c>
      <c r="HB1" t="str">
        <v/>
      </c>
      <c r="HC1" t="str">
        <v/>
      </c>
      <c r="HD1" t="str">
        <v/>
      </c>
      <c r="HE1" t="str">
        <v/>
      </c>
      <c r="HF1" t="str">
        <v/>
      </c>
      <c r="HG1" t="str">
        <v/>
      </c>
      <c r="HH1" t="str">
        <v/>
      </c>
      <c r="HI1" t="str">
        <v/>
      </c>
      <c r="HJ1" t="str">
        <v/>
      </c>
      <c r="HK1" t="str">
        <v/>
      </c>
      <c r="HL1" t="str">
        <v/>
      </c>
      <c r="HM1" t="str">
        <v/>
      </c>
      <c r="HN1" t="str">
        <v/>
      </c>
      <c r="HO1" t="str">
        <v/>
      </c>
      <c r="HP1" t="str">
        <v/>
      </c>
      <c r="HQ1" t="str">
        <v/>
      </c>
      <c r="HR1" t="str">
        <v/>
      </c>
      <c r="HS1" t="str">
        <v/>
      </c>
      <c r="HT1" t="str">
        <v/>
      </c>
      <c r="HU1" t="str">
        <v/>
      </c>
      <c r="HV1" t="str">
        <v/>
      </c>
      <c r="HW1" t="str">
        <v/>
      </c>
      <c r="HX1" t="str">
        <v/>
      </c>
      <c r="HY1" t="str">
        <v/>
      </c>
      <c r="HZ1" t="str">
        <v/>
      </c>
      <c r="IA1" t="str">
        <v/>
      </c>
      <c r="IB1" t="str">
        <v/>
      </c>
      <c r="IC1" t="str">
        <v/>
      </c>
      <c r="ID1" t="str">
        <v/>
      </c>
      <c r="IE1" t="str">
        <v/>
      </c>
      <c r="IF1" t="str">
        <v/>
      </c>
      <c r="IG1" t="str">
        <v/>
      </c>
      <c r="IH1" t="str">
        <v/>
      </c>
      <c r="II1" t="str">
        <v/>
      </c>
      <c r="IJ1" t="str">
        <v/>
      </c>
      <c r="IK1" t="str">
        <v/>
      </c>
      <c r="IL1" t="str">
        <v/>
      </c>
      <c r="IM1" t="str">
        <v/>
      </c>
      <c r="IN1" t="str">
        <v/>
      </c>
      <c r="IO1" t="str">
        <v/>
      </c>
      <c r="IP1" t="str">
        <v/>
      </c>
      <c r="IQ1" t="str">
        <v/>
      </c>
      <c r="IR1" t="str">
        <v/>
      </c>
      <c r="IS1" t="str">
        <v/>
      </c>
      <c r="IT1" t="str">
        <v/>
      </c>
      <c r="IU1" t="str">
        <v/>
      </c>
      <c r="IV1" t="str">
        <v/>
      </c>
      <c r="IW1" t="str">
        <v/>
      </c>
      <c r="IX1" t="str">
        <v/>
      </c>
      <c r="IY1" t="str">
        <v/>
      </c>
      <c r="IZ1" t="str">
        <v/>
      </c>
      <c r="JA1" t="str">
        <v/>
      </c>
      <c r="JB1" t="str">
        <v/>
      </c>
      <c r="JC1" t="str">
        <v/>
      </c>
      <c r="JD1" t="str">
        <v/>
      </c>
      <c r="JE1" t="str">
        <v/>
      </c>
      <c r="JF1" t="str">
        <v/>
      </c>
      <c r="JG1" t="str">
        <v/>
      </c>
      <c r="JH1" t="str">
        <v/>
      </c>
      <c r="JI1" t="str">
        <v/>
      </c>
      <c r="JJ1" t="str">
        <v/>
      </c>
      <c r="JK1" t="str">
        <v/>
      </c>
      <c r="JL1" t="str">
        <v/>
      </c>
      <c r="JM1" t="str">
        <v/>
      </c>
      <c r="JN1" t="str">
        <v/>
      </c>
      <c r="JO1" t="str">
        <v/>
      </c>
      <c r="JP1" t="str">
        <v/>
      </c>
      <c r="JQ1" t="str">
        <v/>
      </c>
      <c r="JR1" t="str">
        <v/>
      </c>
      <c r="JS1" t="str">
        <v/>
      </c>
      <c r="JT1" t="str">
        <v/>
      </c>
      <c r="JU1" t="str">
        <v/>
      </c>
      <c r="JV1" t="str">
        <v/>
      </c>
      <c r="JW1" t="str">
        <v/>
      </c>
      <c r="JX1" t="str">
        <v/>
      </c>
      <c r="JY1" t="str">
        <v/>
      </c>
      <c r="JZ1" t="str">
        <v/>
      </c>
      <c r="KA1" t="str">
        <v/>
      </c>
      <c r="KB1" t="str">
        <v/>
      </c>
      <c r="KC1" t="str">
        <v/>
      </c>
      <c r="KD1" t="str">
        <v/>
      </c>
      <c r="KE1" t="str">
        <v/>
      </c>
      <c r="KF1" t="str">
        <v/>
      </c>
      <c r="KG1" t="str">
        <v/>
      </c>
      <c r="KH1" t="str">
        <v/>
      </c>
      <c r="KI1" t="str">
        <v/>
      </c>
      <c r="KJ1" t="str">
        <v/>
      </c>
      <c r="KK1" t="str">
        <v/>
      </c>
      <c r="KL1" t="str">
        <v/>
      </c>
      <c r="KM1" t="str">
        <v/>
      </c>
      <c r="KN1" t="str">
        <v/>
      </c>
      <c r="KO1" t="str">
        <v/>
      </c>
      <c r="KP1" t="str">
        <v/>
      </c>
      <c r="KQ1" t="str">
        <v/>
      </c>
      <c r="KR1" t="str">
        <v/>
      </c>
      <c r="KS1" t="str">
        <v/>
      </c>
      <c r="KT1" t="str">
        <v/>
      </c>
      <c r="KU1" t="str">
        <v/>
      </c>
      <c r="KV1" t="str">
        <v/>
      </c>
      <c r="KW1" t="str">
        <v/>
      </c>
      <c r="KX1" t="str">
        <v/>
      </c>
      <c r="KY1" t="str">
        <v/>
      </c>
      <c r="KZ1" t="str">
        <v/>
      </c>
      <c r="LA1" t="str">
        <v/>
      </c>
      <c r="LB1" t="str">
        <v/>
      </c>
      <c r="LC1" t="str">
        <v/>
      </c>
      <c r="LD1" t="str">
        <v/>
      </c>
      <c r="LE1" t="str">
        <v/>
      </c>
      <c r="LF1" t="str">
        <v/>
      </c>
      <c r="LG1" t="str">
        <v/>
      </c>
      <c r="LH1" t="str">
        <v/>
      </c>
      <c r="LI1" t="str">
        <v/>
      </c>
      <c r="LJ1" t="str">
        <v/>
      </c>
      <c r="LK1" t="str">
        <v/>
      </c>
      <c r="LL1" t="str">
        <v/>
      </c>
      <c r="LM1" t="str">
        <v/>
      </c>
      <c r="LN1" t="str">
        <v/>
      </c>
      <c r="LO1" t="str">
        <v/>
      </c>
      <c r="LP1" t="str">
        <v/>
      </c>
      <c r="LQ1" t="str">
        <v/>
      </c>
      <c r="LR1" t="str">
        <v/>
      </c>
      <c r="LS1" t="str">
        <v/>
      </c>
      <c r="LT1" t="str">
        <v/>
      </c>
      <c r="LU1" t="str">
        <v/>
      </c>
      <c r="LV1" t="str">
        <v/>
      </c>
      <c r="LW1" t="str">
        <v/>
      </c>
      <c r="LX1" t="str">
        <v/>
      </c>
      <c r="LY1" t="str">
        <v/>
      </c>
      <c r="LZ1" t="str">
        <v/>
      </c>
      <c r="MA1" t="str">
        <v/>
      </c>
      <c r="MB1" t="str">
        <v/>
      </c>
      <c r="MC1" t="str">
        <v/>
      </c>
      <c r="MD1" t="str">
        <v/>
      </c>
      <c r="ME1" t="str">
        <v/>
      </c>
      <c r="MF1" t="str">
        <v/>
      </c>
      <c r="MG1" t="str">
        <v/>
      </c>
      <c r="MH1" t="str">
        <v/>
      </c>
      <c r="MI1" t="str">
        <v/>
      </c>
      <c r="MJ1" t="str">
        <v/>
      </c>
      <c r="MK1" t="str">
        <v/>
      </c>
      <c r="ML1" t="str">
        <v/>
      </c>
      <c r="MM1" t="str">
        <v/>
      </c>
      <c r="MN1" t="str">
        <v/>
      </c>
      <c r="MO1" t="str">
        <v/>
      </c>
      <c r="MP1" t="str">
        <v/>
      </c>
      <c r="MQ1" t="str">
        <v/>
      </c>
      <c r="MR1" t="str">
        <v/>
      </c>
      <c r="MS1" t="str">
        <v/>
      </c>
      <c r="MT1" t="str">
        <v/>
      </c>
      <c r="MU1" t="str">
        <v/>
      </c>
      <c r="MV1" t="str">
        <v/>
      </c>
      <c r="MW1" t="str">
        <v/>
      </c>
      <c r="MX1" t="str">
        <v/>
      </c>
      <c r="MY1" t="str">
        <v/>
      </c>
      <c r="MZ1" t="str">
        <v/>
      </c>
      <c r="NA1" t="str">
        <v/>
      </c>
      <c r="NB1" t="str">
        <v/>
      </c>
      <c r="NC1" t="str">
        <v/>
      </c>
      <c r="ND1" t="str">
        <v/>
      </c>
      <c r="NE1" t="str">
        <v/>
      </c>
      <c r="NF1" t="str">
        <v/>
      </c>
      <c r="NG1" t="str">
        <v/>
      </c>
      <c r="NH1" t="str">
        <v/>
      </c>
      <c r="NI1" t="str">
        <v/>
      </c>
      <c r="NJ1" t="str">
        <v/>
      </c>
      <c r="NK1" t="str">
        <v/>
      </c>
      <c r="NL1" t="str">
        <v/>
      </c>
      <c r="NM1" t="str">
        <v/>
      </c>
      <c r="NN1" t="str">
        <v/>
      </c>
      <c r="NO1" t="str">
        <v/>
      </c>
      <c r="NP1" t="str">
        <v/>
      </c>
      <c r="NQ1" t="str">
        <v/>
      </c>
      <c r="NR1" t="str">
        <v/>
      </c>
      <c r="NS1" t="str">
        <v/>
      </c>
      <c r="NT1" t="str">
        <v/>
      </c>
      <c r="NU1" t="str">
        <v/>
      </c>
      <c r="NV1" t="str">
        <v/>
      </c>
      <c r="NW1" t="str">
        <v/>
      </c>
      <c r="NX1" t="str">
        <v/>
      </c>
      <c r="NY1" t="str">
        <v/>
      </c>
      <c r="NZ1" t="str">
        <v/>
      </c>
      <c r="OA1" t="str">
        <v/>
      </c>
      <c r="OB1" t="str">
        <v/>
      </c>
      <c r="OC1" t="str">
        <v/>
      </c>
      <c r="OD1" t="str">
        <v/>
      </c>
      <c r="OE1" t="str">
        <v/>
      </c>
      <c r="OF1" t="str">
        <v/>
      </c>
      <c r="OG1" t="str">
        <v/>
      </c>
      <c r="OH1" t="str">
        <v/>
      </c>
      <c r="OI1" t="str">
        <v/>
      </c>
      <c r="OJ1" t="str">
        <v/>
      </c>
      <c r="OK1" t="str">
        <v/>
      </c>
      <c r="OL1" t="str">
        <v/>
      </c>
      <c r="OM1" t="str">
        <v/>
      </c>
      <c r="ON1" t="str">
        <v/>
      </c>
      <c r="OO1" t="str">
        <v/>
      </c>
      <c r="OP1" t="str">
        <v/>
      </c>
      <c r="OQ1" t="str">
        <v/>
      </c>
      <c r="OR1" t="str">
        <v/>
      </c>
      <c r="OS1" t="str">
        <v/>
      </c>
      <c r="OT1" t="str">
        <v/>
      </c>
      <c r="OU1" t="str">
        <v/>
      </c>
      <c r="OV1" t="str">
        <v/>
      </c>
      <c r="OW1" t="str">
        <v/>
      </c>
      <c r="OX1" t="str">
        <v/>
      </c>
      <c r="OY1" t="str">
        <v/>
      </c>
      <c r="OZ1" t="str">
        <v/>
      </c>
      <c r="PA1" t="str">
        <v/>
      </c>
      <c r="PB1" t="str">
        <v/>
      </c>
      <c r="PC1" t="str">
        <v/>
      </c>
      <c r="PD1" t="str">
        <v/>
      </c>
      <c r="PE1" t="str">
        <v/>
      </c>
      <c r="PF1" t="str">
        <v/>
      </c>
      <c r="PG1" t="str">
        <v/>
      </c>
      <c r="PH1" t="str">
        <v/>
      </c>
      <c r="PI1" t="str">
        <v/>
      </c>
      <c r="PJ1" t="str">
        <v/>
      </c>
      <c r="PK1" t="str">
        <v/>
      </c>
      <c r="PL1" t="str">
        <v/>
      </c>
      <c r="PM1" t="str">
        <v/>
      </c>
      <c r="PN1" t="str">
        <v/>
      </c>
      <c r="PO1" t="str">
        <v/>
      </c>
      <c r="PP1" t="str">
        <v/>
      </c>
      <c r="PQ1" t="str">
        <v/>
      </c>
      <c r="PR1" t="str">
        <v/>
      </c>
      <c r="PS1" t="str">
        <v/>
      </c>
      <c r="PT1" t="str">
        <v/>
      </c>
      <c r="PU1" t="str">
        <v/>
      </c>
      <c r="PV1" t="str">
        <v/>
      </c>
      <c r="PW1" t="str">
        <v/>
      </c>
      <c r="PX1" t="str">
        <v/>
      </c>
      <c r="PY1" t="str">
        <v/>
      </c>
      <c r="PZ1" t="str">
        <v/>
      </c>
      <c r="QA1" t="str">
        <v/>
      </c>
      <c r="QB1" t="str">
        <v/>
      </c>
      <c r="QC1" t="str">
        <v/>
      </c>
      <c r="QD1" t="str">
        <v/>
      </c>
      <c r="QE1" t="str">
        <v/>
      </c>
      <c r="QF1" t="str">
        <v/>
      </c>
      <c r="QG1" t="str">
        <v/>
      </c>
      <c r="QH1" t="str">
        <v/>
      </c>
      <c r="QI1" t="str">
        <v/>
      </c>
      <c r="QJ1" t="str">
        <v/>
      </c>
      <c r="QK1" t="str">
        <v/>
      </c>
      <c r="QL1" t="str">
        <v/>
      </c>
      <c r="QM1" t="str">
        <v/>
      </c>
      <c r="QN1" t="str">
        <v/>
      </c>
      <c r="QO1" t="str">
        <v/>
      </c>
      <c r="QP1" t="str">
        <v/>
      </c>
      <c r="QQ1" t="str">
        <v/>
      </c>
      <c r="QR1" t="str">
        <v/>
      </c>
      <c r="QS1" t="str">
        <v/>
      </c>
      <c r="QT1" t="str">
        <v/>
      </c>
      <c r="QU1" t="str">
        <v/>
      </c>
      <c r="QV1" t="str">
        <v/>
      </c>
      <c r="QW1" t="str">
        <v/>
      </c>
      <c r="QX1" t="str">
        <v/>
      </c>
      <c r="QY1" t="str">
        <v/>
      </c>
      <c r="QZ1" t="str">
        <v/>
      </c>
      <c r="RA1" t="str">
        <v/>
      </c>
      <c r="RB1" t="str">
        <v/>
      </c>
      <c r="RC1" t="str">
        <v/>
      </c>
      <c r="RD1" t="str">
        <v/>
      </c>
      <c r="RE1" t="str">
        <v/>
      </c>
      <c r="RF1" t="str">
        <v/>
      </c>
      <c r="RG1" t="str">
        <v/>
      </c>
      <c r="RH1" t="str">
        <v/>
      </c>
      <c r="RI1" t="str">
        <v/>
      </c>
      <c r="RJ1" t="str">
        <v/>
      </c>
      <c r="RK1" t="str">
        <v/>
      </c>
      <c r="RL1" t="str">
        <v/>
      </c>
      <c r="RM1" t="str">
        <v/>
      </c>
      <c r="RN1" t="str">
        <v/>
      </c>
      <c r="RO1" t="str">
        <v/>
      </c>
      <c r="RP1" t="str">
        <v/>
      </c>
      <c r="RQ1" t="str">
        <v/>
      </c>
      <c r="RR1" t="str">
        <v/>
      </c>
      <c r="RS1" t="str">
        <v/>
      </c>
      <c r="RT1" t="str">
        <v/>
      </c>
      <c r="RU1" t="str">
        <v/>
      </c>
      <c r="RV1" t="str">
        <v/>
      </c>
      <c r="RW1" t="str">
        <v/>
      </c>
      <c r="RX1" t="str">
        <v/>
      </c>
      <c r="RY1" t="str">
        <v/>
      </c>
      <c r="RZ1" t="str">
        <v/>
      </c>
      <c r="SA1" t="str">
        <v/>
      </c>
      <c r="SB1" t="str">
        <v/>
      </c>
      <c r="SC1" t="str">
        <v/>
      </c>
      <c r="SD1" t="str">
        <v/>
      </c>
      <c r="SE1" t="str">
        <v/>
      </c>
      <c r="SF1" t="str">
        <v/>
      </c>
      <c r="SG1" t="str">
        <v/>
      </c>
      <c r="SH1" t="str">
        <v/>
      </c>
      <c r="SI1" t="str">
        <v/>
      </c>
      <c r="SJ1" t="str">
        <v/>
      </c>
      <c r="SK1" t="str">
        <v/>
      </c>
      <c r="SL1" t="str">
        <v/>
      </c>
      <c r="SM1" t="str">
        <v/>
      </c>
      <c r="SN1" t="str">
        <v/>
      </c>
      <c r="SO1" t="str">
        <v/>
      </c>
      <c r="SP1" t="str">
        <v/>
      </c>
      <c r="SQ1" t="str">
        <v/>
      </c>
      <c r="SR1" t="str">
        <v/>
      </c>
      <c r="SS1" t="str">
        <v/>
      </c>
      <c r="ST1" t="str">
        <v/>
      </c>
      <c r="SU1" t="str">
        <v/>
      </c>
      <c r="SV1" t="str">
        <v/>
      </c>
      <c r="SW1" t="str">
        <v/>
      </c>
      <c r="SX1" t="str">
        <v/>
      </c>
      <c r="SY1" t="str">
        <v/>
      </c>
      <c r="SZ1" t="str">
        <v/>
      </c>
      <c r="TA1" t="str">
        <v/>
      </c>
      <c r="TB1" t="str">
        <v/>
      </c>
      <c r="TC1" t="str">
        <v/>
      </c>
      <c r="TD1" t="str">
        <v/>
      </c>
      <c r="TE1" t="str">
        <v/>
      </c>
      <c r="TF1" t="str">
        <v/>
      </c>
      <c r="TG1" t="str">
        <v/>
      </c>
      <c r="TH1" t="str">
        <v/>
      </c>
      <c r="TI1" t="str">
        <v/>
      </c>
      <c r="TJ1" t="str">
        <v/>
      </c>
      <c r="TK1" t="str">
        <v/>
      </c>
      <c r="TL1" t="str">
        <v/>
      </c>
      <c r="TM1" t="str">
        <v/>
      </c>
      <c r="TN1" t="str">
        <v/>
      </c>
      <c r="TO1" t="str">
        <v/>
      </c>
      <c r="TP1" t="str">
        <v/>
      </c>
      <c r="TQ1" t="str">
        <v/>
      </c>
      <c r="TR1" t="str">
        <v/>
      </c>
      <c r="TS1" t="str">
        <v/>
      </c>
      <c r="TT1" t="str">
        <v/>
      </c>
      <c r="TU1" t="str">
        <v/>
      </c>
      <c r="TV1" t="str">
        <v/>
      </c>
      <c r="TW1" t="str">
        <v/>
      </c>
      <c r="TX1" t="str">
        <v/>
      </c>
      <c r="TY1" t="str">
        <v/>
      </c>
      <c r="TZ1" t="str">
        <v/>
      </c>
      <c r="UA1" t="str">
        <v/>
      </c>
      <c r="UB1" t="str">
        <v/>
      </c>
      <c r="UC1" t="str">
        <v/>
      </c>
      <c r="UD1" t="str">
        <v/>
      </c>
      <c r="UE1" t="str">
        <v/>
      </c>
      <c r="UF1" t="str">
        <v/>
      </c>
      <c r="UG1" t="str">
        <v/>
      </c>
      <c r="UH1" t="str">
        <v/>
      </c>
      <c r="UI1" t="str">
        <v/>
      </c>
      <c r="UJ1" t="str">
        <v/>
      </c>
      <c r="UK1" t="str">
        <v/>
      </c>
      <c r="UL1" t="str">
        <v/>
      </c>
      <c r="UM1" t="str">
        <v/>
      </c>
      <c r="UN1" t="str">
        <v/>
      </c>
      <c r="UO1" t="str">
        <v/>
      </c>
      <c r="UP1" t="str">
        <v/>
      </c>
      <c r="UQ1" t="str">
        <v/>
      </c>
      <c r="UR1" t="str">
        <v/>
      </c>
      <c r="US1" t="str">
        <v/>
      </c>
      <c r="UT1" t="str">
        <v/>
      </c>
      <c r="UU1" t="str">
        <v/>
      </c>
      <c r="UV1" t="str">
        <v/>
      </c>
      <c r="UW1" t="str">
        <v/>
      </c>
      <c r="UX1" t="str">
        <v/>
      </c>
      <c r="UY1" t="str">
        <v/>
      </c>
      <c r="UZ1" t="str">
        <v/>
      </c>
      <c r="VA1" t="str">
        <v/>
      </c>
      <c r="VB1" t="str">
        <v/>
      </c>
      <c r="VC1" t="str">
        <v/>
      </c>
      <c r="VD1" t="str">
        <v/>
      </c>
      <c r="VE1" t="str">
        <v/>
      </c>
      <c r="VF1" t="str">
        <v/>
      </c>
      <c r="VG1" t="str">
        <v/>
      </c>
      <c r="VH1" t="str">
        <v/>
      </c>
      <c r="VI1" t="str">
        <v/>
      </c>
      <c r="VJ1" t="str">
        <v/>
      </c>
      <c r="VK1" t="str">
        <v/>
      </c>
      <c r="VL1" t="str">
        <v/>
      </c>
      <c r="VM1" t="str">
        <v/>
      </c>
      <c r="VN1" t="str">
        <v/>
      </c>
      <c r="VO1" t="str">
        <v/>
      </c>
      <c r="VP1" t="str">
        <v/>
      </c>
      <c r="VQ1" t="str">
        <v/>
      </c>
      <c r="VR1" t="str">
        <v/>
      </c>
      <c r="VS1" t="str">
        <v/>
      </c>
      <c r="VT1" t="str">
        <v/>
      </c>
      <c r="VU1" t="str">
        <v/>
      </c>
      <c r="VV1" t="str">
        <v/>
      </c>
      <c r="VW1" t="str">
        <v/>
      </c>
      <c r="VX1" t="str">
        <v/>
      </c>
      <c r="VY1" t="str">
        <v/>
      </c>
      <c r="VZ1" t="str">
        <v/>
      </c>
      <c r="WA1" t="str">
        <v/>
      </c>
      <c r="WB1" t="str">
        <v/>
      </c>
      <c r="WC1" t="str">
        <v/>
      </c>
      <c r="WD1" t="str">
        <v/>
      </c>
      <c r="WE1" t="str">
        <v/>
      </c>
      <c r="WF1" t="str">
        <v/>
      </c>
      <c r="WG1" t="str">
        <v/>
      </c>
      <c r="WH1" t="str">
        <v/>
      </c>
      <c r="WI1" t="str">
        <v/>
      </c>
      <c r="WJ1" t="str">
        <v/>
      </c>
      <c r="WK1" t="str">
        <v/>
      </c>
      <c r="WL1" t="str">
        <v/>
      </c>
      <c r="WM1" t="str">
        <v/>
      </c>
      <c r="WN1" t="str">
        <v/>
      </c>
      <c r="WO1" t="str">
        <v/>
      </c>
      <c r="WP1" t="str">
        <v/>
      </c>
      <c r="WQ1" t="str">
        <v/>
      </c>
      <c r="WR1" t="str">
        <v/>
      </c>
      <c r="WS1" t="str">
        <v/>
      </c>
      <c r="WT1" t="str">
        <v/>
      </c>
      <c r="WU1" t="str">
        <v/>
      </c>
      <c r="WV1" t="str">
        <v/>
      </c>
      <c r="WW1" t="str">
        <v/>
      </c>
      <c r="WX1" t="str">
        <v/>
      </c>
      <c r="WY1" t="str">
        <v/>
      </c>
      <c r="WZ1" t="str">
        <v/>
      </c>
      <c r="XA1" t="str">
        <v/>
      </c>
      <c r="XB1" t="str">
        <v/>
      </c>
      <c r="XC1" t="str">
        <v/>
      </c>
      <c r="XD1" t="str">
        <v/>
      </c>
      <c r="XE1" t="str">
        <v/>
      </c>
      <c r="XF1" t="str">
        <v/>
      </c>
      <c r="XG1" t="str">
        <v/>
      </c>
      <c r="XH1" t="str">
        <v/>
      </c>
      <c r="XI1" t="str">
        <v/>
      </c>
      <c r="XJ1" t="str">
        <v/>
      </c>
      <c r="XK1" t="str">
        <v/>
      </c>
      <c r="XL1" t="str">
        <v/>
      </c>
      <c r="XM1" t="str">
        <v/>
      </c>
      <c r="XN1" t="str">
        <v/>
      </c>
      <c r="XO1" t="str">
        <v/>
      </c>
      <c r="XP1" t="str">
        <v/>
      </c>
      <c r="XQ1" t="str">
        <v/>
      </c>
      <c r="XR1" t="str">
        <v/>
      </c>
      <c r="XS1" t="str">
        <v/>
      </c>
      <c r="XT1" t="str">
        <v/>
      </c>
      <c r="XU1" t="str">
        <v/>
      </c>
      <c r="XV1" t="str">
        <v/>
      </c>
      <c r="XW1" t="str">
        <v/>
      </c>
      <c r="XX1" t="str">
        <v/>
      </c>
      <c r="XY1" t="str">
        <v/>
      </c>
      <c r="XZ1" t="str">
        <v/>
      </c>
      <c r="YA1" t="str">
        <v/>
      </c>
      <c r="YB1" t="str">
        <v/>
      </c>
      <c r="YC1" t="str">
        <v/>
      </c>
      <c r="YD1" t="str">
        <v/>
      </c>
      <c r="YE1" t="str">
        <v/>
      </c>
      <c r="YF1" t="str">
        <v/>
      </c>
      <c r="YG1" t="str">
        <v/>
      </c>
      <c r="YH1" t="str">
        <v/>
      </c>
      <c r="YI1" t="str">
        <v/>
      </c>
      <c r="YJ1" t="str">
        <v/>
      </c>
      <c r="YK1" t="str">
        <v/>
      </c>
      <c r="YL1" t="str">
        <v/>
      </c>
      <c r="YM1" t="str">
        <v/>
      </c>
      <c r="YN1" t="str">
        <v/>
      </c>
      <c r="YO1" t="str">
        <v/>
      </c>
      <c r="YP1" t="str">
        <v/>
      </c>
      <c r="YQ1" t="str">
        <v/>
      </c>
      <c r="YR1" t="str">
        <v/>
      </c>
      <c r="YS1" t="str">
        <v/>
      </c>
      <c r="YT1" t="str">
        <v/>
      </c>
      <c r="YU1" t="str">
        <v/>
      </c>
      <c r="YV1" t="str">
        <v/>
      </c>
      <c r="YW1" t="str">
        <v/>
      </c>
      <c r="YX1" t="str">
        <v/>
      </c>
      <c r="YY1" t="str">
        <v/>
      </c>
      <c r="YZ1" t="str">
        <v/>
      </c>
      <c r="ZA1" t="str">
        <v/>
      </c>
      <c r="ZB1" t="str">
        <v/>
      </c>
      <c r="ZC1" t="str">
        <v/>
      </c>
      <c r="ZD1" t="str">
        <v/>
      </c>
      <c r="ZE1" t="str">
        <v/>
      </c>
      <c r="ZF1" t="str">
        <v/>
      </c>
      <c r="ZG1" t="str">
        <v/>
      </c>
      <c r="ZH1" t="str">
        <v/>
      </c>
      <c r="ZI1" t="str">
        <v/>
      </c>
      <c r="ZJ1" t="str">
        <v/>
      </c>
      <c r="ZK1" t="str">
        <v/>
      </c>
      <c r="ZL1" t="str">
        <v/>
      </c>
      <c r="ZM1" t="str">
        <v/>
      </c>
      <c r="ZN1" t="str">
        <v/>
      </c>
      <c r="ZO1" t="str">
        <v/>
      </c>
      <c r="ZP1" t="str">
        <v/>
      </c>
      <c r="ZQ1" t="str">
        <v/>
      </c>
      <c r="ZR1" t="str">
        <v/>
      </c>
      <c r="ZS1" t="str">
        <v/>
      </c>
      <c r="ZT1" t="str">
        <v/>
      </c>
      <c r="ZU1" t="str">
        <v/>
      </c>
      <c r="ZV1" t="str">
        <v/>
      </c>
      <c r="ZW1" t="str">
        <v/>
      </c>
      <c r="ZX1" t="str">
        <v/>
      </c>
      <c r="ZY1" t="str">
        <v/>
      </c>
      <c r="ZZ1" t="str">
        <v/>
      </c>
      <c r="AAA1" t="str">
        <v/>
      </c>
      <c r="AAB1" t="str">
        <v/>
      </c>
      <c r="AAC1" t="str">
        <v/>
      </c>
      <c r="AAD1" t="str">
        <v/>
      </c>
      <c r="AAE1" t="str">
        <v/>
      </c>
      <c r="AAF1" t="str">
        <v/>
      </c>
      <c r="AAG1" t="str">
        <v/>
      </c>
      <c r="AAH1" t="str">
        <v/>
      </c>
      <c r="AAI1" t="str">
        <v/>
      </c>
      <c r="AAJ1" t="str">
        <v/>
      </c>
      <c r="AAK1" t="str">
        <v/>
      </c>
      <c r="AAL1" t="str">
        <v/>
      </c>
      <c r="AAM1" t="str">
        <v/>
      </c>
      <c r="AAN1" t="str">
        <v/>
      </c>
      <c r="AAO1" t="str">
        <v/>
      </c>
      <c r="AAP1" t="str">
        <v/>
      </c>
      <c r="AAQ1" t="str">
        <v/>
      </c>
      <c r="AAR1" t="str">
        <v/>
      </c>
      <c r="AAS1" t="str">
        <v/>
      </c>
      <c r="AAT1" t="str">
        <v/>
      </c>
      <c r="AAU1" t="str">
        <v/>
      </c>
      <c r="AAV1" t="str">
        <v/>
      </c>
      <c r="AAW1" t="str">
        <v/>
      </c>
      <c r="AAX1" t="str">
        <v/>
      </c>
      <c r="AAY1" t="str">
        <v/>
      </c>
      <c r="AAZ1" t="str">
        <v/>
      </c>
      <c r="ABA1" t="str">
        <v/>
      </c>
      <c r="ABB1" t="str">
        <v/>
      </c>
      <c r="ABC1" t="str">
        <v/>
      </c>
      <c r="ABD1" t="str">
        <v/>
      </c>
      <c r="ABE1" t="str">
        <v/>
      </c>
      <c r="ABF1" t="str">
        <v/>
      </c>
      <c r="ABG1" t="str">
        <v/>
      </c>
      <c r="ABH1" t="str">
        <v/>
      </c>
      <c r="ABI1" t="str">
        <v/>
      </c>
      <c r="ABJ1" t="str">
        <v/>
      </c>
      <c r="ABK1" t="str">
        <v/>
      </c>
      <c r="ABL1" t="str">
        <v/>
      </c>
      <c r="ABM1" t="str">
        <v/>
      </c>
      <c r="ABN1" t="str">
        <v/>
      </c>
      <c r="ABO1" t="str">
        <v/>
      </c>
      <c r="ABP1" t="str">
        <v/>
      </c>
      <c r="ABQ1" t="str">
        <v/>
      </c>
      <c r="ABR1" t="str">
        <v/>
      </c>
      <c r="ABS1" t="str">
        <v/>
      </c>
      <c r="ABT1" t="str">
        <v/>
      </c>
      <c r="ABU1" t="str">
        <v/>
      </c>
      <c r="ABV1" t="str">
        <v/>
      </c>
      <c r="ABW1" t="str">
        <v/>
      </c>
      <c r="ABX1" t="str">
        <v/>
      </c>
      <c r="ABY1" t="str">
        <v/>
      </c>
      <c r="ABZ1" t="str">
        <v/>
      </c>
      <c r="ACA1" t="str">
        <v/>
      </c>
      <c r="ACB1" t="str">
        <v/>
      </c>
      <c r="ACC1" t="str">
        <v/>
      </c>
      <c r="ACD1" t="str">
        <v/>
      </c>
      <c r="ACE1" t="str">
        <v/>
      </c>
      <c r="ACF1" t="str">
        <v/>
      </c>
      <c r="ACG1" t="str">
        <v/>
      </c>
      <c r="ACH1" t="str">
        <v/>
      </c>
      <c r="ACI1" t="str">
        <v/>
      </c>
      <c r="ACJ1" t="str">
        <v/>
      </c>
      <c r="ACK1" t="str">
        <v/>
      </c>
      <c r="ACL1" t="str">
        <v/>
      </c>
      <c r="ACM1" t="str">
        <v/>
      </c>
      <c r="ACN1" t="str">
        <v/>
      </c>
      <c r="ACO1" t="str">
        <v/>
      </c>
      <c r="ACP1" t="str">
        <v/>
      </c>
      <c r="ACQ1" t="str">
        <v/>
      </c>
      <c r="ACR1" t="str">
        <v/>
      </c>
      <c r="ACS1" t="str">
        <v/>
      </c>
      <c r="ACT1" t="str">
        <v/>
      </c>
      <c r="ACU1" t="str">
        <v/>
      </c>
      <c r="ACV1" t="str">
        <v/>
      </c>
      <c r="ACW1" t="str">
        <v/>
      </c>
      <c r="ACX1" t="str">
        <v/>
      </c>
      <c r="ACY1" t="str">
        <v/>
      </c>
      <c r="ACZ1" t="str">
        <v/>
      </c>
      <c r="ADA1" t="str">
        <v/>
      </c>
      <c r="ADB1" t="str">
        <v/>
      </c>
      <c r="ADC1" t="str">
        <v/>
      </c>
      <c r="ADD1" t="str">
        <v/>
      </c>
      <c r="ADE1" t="str">
        <v/>
      </c>
      <c r="ADF1" t="str">
        <v/>
      </c>
      <c r="ADG1" t="str">
        <v/>
      </c>
      <c r="ADH1" t="str">
        <v/>
      </c>
      <c r="ADI1" t="str">
        <v/>
      </c>
      <c r="ADJ1" t="str">
        <v/>
      </c>
      <c r="ADK1" t="str">
        <v/>
      </c>
      <c r="ADL1" t="str">
        <v/>
      </c>
      <c r="ADM1" t="str">
        <v/>
      </c>
      <c r="ADN1" t="str">
        <v/>
      </c>
      <c r="ADO1" t="str">
        <v/>
      </c>
      <c r="ADP1" t="str">
        <v/>
      </c>
      <c r="ADQ1" t="str">
        <v/>
      </c>
      <c r="ADR1" t="str">
        <v/>
      </c>
      <c r="ADS1" t="str">
        <v/>
      </c>
      <c r="ADT1" t="str">
        <v/>
      </c>
      <c r="ADU1" t="str">
        <v/>
      </c>
      <c r="ADV1" t="str">
        <v/>
      </c>
      <c r="ADW1" t="str">
        <v/>
      </c>
      <c r="ADX1" t="str">
        <v/>
      </c>
      <c r="ADY1" t="str">
        <v/>
      </c>
      <c r="ADZ1" t="str">
        <v/>
      </c>
      <c r="AEA1" t="str">
        <v/>
      </c>
      <c r="AEB1" t="str">
        <v/>
      </c>
      <c r="AEC1" t="str">
        <v/>
      </c>
      <c r="AED1" t="str">
        <v/>
      </c>
      <c r="AEE1" t="str">
        <v/>
      </c>
      <c r="AEF1" t="str">
        <v/>
      </c>
      <c r="AEG1" t="str">
        <v/>
      </c>
      <c r="AEH1" t="str">
        <v/>
      </c>
      <c r="AEI1" t="str">
        <v/>
      </c>
      <c r="AEJ1" t="str">
        <v/>
      </c>
      <c r="AEK1" t="str">
        <v/>
      </c>
      <c r="AEL1" t="str">
        <v/>
      </c>
      <c r="AEM1" t="str">
        <v/>
      </c>
      <c r="AEN1" t="str">
        <v/>
      </c>
      <c r="AEO1" t="str">
        <v/>
      </c>
      <c r="AEP1" t="str">
        <v/>
      </c>
      <c r="AEQ1" t="str">
        <v/>
      </c>
      <c r="AER1" t="str">
        <v/>
      </c>
      <c r="AES1" t="str">
        <v/>
      </c>
      <c r="AET1" t="str">
        <v/>
      </c>
      <c r="AEU1" t="str">
        <v/>
      </c>
      <c r="AEV1" t="str">
        <v/>
      </c>
      <c r="AEW1" t="str">
        <v/>
      </c>
      <c r="AEX1" t="str">
        <v/>
      </c>
      <c r="AEY1" t="str">
        <v/>
      </c>
      <c r="AEZ1" t="str">
        <v/>
      </c>
      <c r="AFA1" t="str">
        <v/>
      </c>
      <c r="AFB1" t="str">
        <v/>
      </c>
      <c r="AFC1" t="str">
        <v/>
      </c>
      <c r="AFD1" t="str">
        <v/>
      </c>
      <c r="AFE1" t="str">
        <v/>
      </c>
      <c r="AFF1" t="str">
        <v/>
      </c>
      <c r="AFG1" t="str">
        <v/>
      </c>
      <c r="AFH1" t="str">
        <v/>
      </c>
      <c r="AFI1" t="str">
        <v/>
      </c>
      <c r="AFJ1" t="str">
        <v/>
      </c>
      <c r="AFK1" t="str">
        <v/>
      </c>
      <c r="AFL1" t="str">
        <v/>
      </c>
      <c r="AFM1" t="str">
        <v/>
      </c>
      <c r="AFN1" t="str">
        <v/>
      </c>
      <c r="AFO1" t="str">
        <v/>
      </c>
      <c r="AFP1" t="str">
        <v/>
      </c>
      <c r="AFQ1" t="str">
        <v/>
      </c>
      <c r="AFR1" t="str">
        <v/>
      </c>
      <c r="AFS1" t="str">
        <v/>
      </c>
      <c r="AFT1" t="str">
        <v/>
      </c>
      <c r="AFU1" t="str">
        <v/>
      </c>
      <c r="AFV1" t="str">
        <v/>
      </c>
      <c r="AFW1" t="str">
        <v/>
      </c>
      <c r="AFX1" t="str">
        <v/>
      </c>
      <c r="AFY1" t="str">
        <v/>
      </c>
      <c r="AFZ1" t="str">
        <v/>
      </c>
      <c r="AGA1" t="str">
        <v/>
      </c>
      <c r="AGB1" t="str">
        <v/>
      </c>
      <c r="AGC1" t="str">
        <v/>
      </c>
      <c r="AGD1" t="str">
        <v/>
      </c>
      <c r="AGE1" t="str">
        <v/>
      </c>
      <c r="AGF1" t="str">
        <v/>
      </c>
      <c r="AGG1" t="str">
        <v/>
      </c>
      <c r="AGH1" t="str">
        <v/>
      </c>
      <c r="AGI1" t="str">
        <v/>
      </c>
      <c r="AGJ1" t="str">
        <v/>
      </c>
      <c r="AGK1" t="str">
        <v/>
      </c>
      <c r="AGL1" t="str">
        <v/>
      </c>
      <c r="AGM1" t="str">
        <v/>
      </c>
      <c r="AGN1" t="str">
        <v/>
      </c>
      <c r="AGO1" t="str">
        <v/>
      </c>
      <c r="AGP1" t="str">
        <v/>
      </c>
      <c r="AGQ1" t="str">
        <v/>
      </c>
      <c r="AGR1" t="str">
        <v/>
      </c>
      <c r="AGS1" t="str">
        <v/>
      </c>
      <c r="AGT1" t="str">
        <v/>
      </c>
      <c r="AGU1" t="str">
        <v/>
      </c>
      <c r="AGV1" t="str">
        <v/>
      </c>
      <c r="AGW1" t="str">
        <v/>
      </c>
      <c r="AGX1" t="str">
        <v/>
      </c>
      <c r="AGY1" t="str">
        <v/>
      </c>
      <c r="AGZ1" t="str">
        <v/>
      </c>
      <c r="AHA1" t="str">
        <v/>
      </c>
      <c r="AHB1" t="str">
        <v/>
      </c>
      <c r="AHC1" t="str">
        <v/>
      </c>
      <c r="AHD1" t="str">
        <v/>
      </c>
      <c r="AHE1" t="str">
        <v/>
      </c>
      <c r="AHF1" t="str">
        <v/>
      </c>
      <c r="AHG1" t="str">
        <v/>
      </c>
      <c r="AHH1" t="str">
        <v/>
      </c>
      <c r="AHI1" t="str">
        <v/>
      </c>
      <c r="AHJ1" t="str">
        <v/>
      </c>
      <c r="AHK1" t="str">
        <v/>
      </c>
      <c r="AHL1" t="str">
        <v/>
      </c>
      <c r="AHM1" t="str">
        <v/>
      </c>
      <c r="AHN1" t="str">
        <v/>
      </c>
      <c r="AHO1" t="str">
        <v/>
      </c>
      <c r="AHP1" t="str">
        <v/>
      </c>
      <c r="AHQ1" t="str">
        <v/>
      </c>
      <c r="AHR1" t="str">
        <v/>
      </c>
      <c r="AHS1" t="str">
        <v/>
      </c>
      <c r="AHT1" t="str">
        <v/>
      </c>
      <c r="AHU1" t="str">
        <v/>
      </c>
      <c r="AHV1" t="str">
        <v/>
      </c>
      <c r="AHW1" t="str">
        <v/>
      </c>
      <c r="AHX1" t="str">
        <v/>
      </c>
      <c r="AHY1" t="str">
        <v/>
      </c>
      <c r="AHZ1" t="str">
        <v/>
      </c>
      <c r="AIA1" t="str">
        <v/>
      </c>
      <c r="AIB1" t="str">
        <v/>
      </c>
      <c r="AIC1" t="str">
        <v/>
      </c>
      <c r="AID1" t="str">
        <v/>
      </c>
      <c r="AIE1" t="str">
        <v/>
      </c>
      <c r="AIF1" t="str">
        <v/>
      </c>
      <c r="AIG1" t="str">
        <v/>
      </c>
      <c r="AIH1" t="str">
        <v/>
      </c>
      <c r="AII1" t="str">
        <v/>
      </c>
      <c r="AIJ1" t="str">
        <v/>
      </c>
      <c r="AIK1" t="str">
        <v/>
      </c>
      <c r="AIL1" t="str">
        <v/>
      </c>
      <c r="AIM1" t="str">
        <v/>
      </c>
      <c r="AIN1" t="str">
        <v/>
      </c>
      <c r="AIO1" t="str">
        <v/>
      </c>
      <c r="AIP1" t="str">
        <v/>
      </c>
      <c r="AIQ1" t="str">
        <v/>
      </c>
      <c r="AIR1" t="str">
        <v/>
      </c>
      <c r="AIS1" t="str">
        <v/>
      </c>
      <c r="AIT1" t="str">
        <v/>
      </c>
      <c r="AIU1" t="str">
        <v/>
      </c>
      <c r="AIV1" t="str">
        <v/>
      </c>
      <c r="AIW1" t="str">
        <v/>
      </c>
      <c r="AIX1" t="str">
        <v/>
      </c>
      <c r="AIY1" t="str">
        <v/>
      </c>
      <c r="AIZ1" t="str">
        <v/>
      </c>
      <c r="AJA1" t="str">
        <v/>
      </c>
      <c r="AJB1" t="str">
        <v/>
      </c>
      <c r="AJC1" t="str">
        <v/>
      </c>
      <c r="AJD1" t="str">
        <v/>
      </c>
      <c r="AJE1" t="str">
        <v/>
      </c>
      <c r="AJF1" t="str">
        <v/>
      </c>
      <c r="AJG1" t="str">
        <v/>
      </c>
      <c r="AJH1" t="str">
        <v/>
      </c>
      <c r="AJI1" t="str">
        <v/>
      </c>
      <c r="AJJ1" t="str">
        <v/>
      </c>
      <c r="AJK1" t="str">
        <v/>
      </c>
      <c r="AJL1" t="str">
        <v/>
      </c>
      <c r="AJM1" t="str">
        <v/>
      </c>
      <c r="AJN1" t="str">
        <v/>
      </c>
      <c r="AJO1" t="str">
        <v/>
      </c>
      <c r="AJP1" t="str">
        <v/>
      </c>
      <c r="AJQ1" t="str">
        <v/>
      </c>
      <c r="AJR1" t="str">
        <v/>
      </c>
      <c r="AJS1" t="str">
        <v/>
      </c>
      <c r="AJT1" t="str">
        <v/>
      </c>
      <c r="AJU1" t="str">
        <v/>
      </c>
      <c r="AJV1" t="str">
        <v/>
      </c>
      <c r="AJW1" t="str">
        <v/>
      </c>
      <c r="AJX1" t="str">
        <v/>
      </c>
      <c r="AJY1" t="str">
        <v/>
      </c>
      <c r="AJZ1" t="str">
        <v/>
      </c>
      <c r="AKA1" t="str">
        <v/>
      </c>
      <c r="AKB1" t="str">
        <v/>
      </c>
      <c r="AKC1" t="str">
        <v/>
      </c>
      <c r="AKD1" t="str">
        <v/>
      </c>
      <c r="AKE1" t="str">
        <v/>
      </c>
      <c r="AKF1" t="str">
        <v/>
      </c>
      <c r="AKG1" t="str">
        <v/>
      </c>
      <c r="AKH1" t="str">
        <v/>
      </c>
      <c r="AKI1" t="str">
        <v/>
      </c>
      <c r="AKJ1" t="str">
        <v/>
      </c>
      <c r="AKK1" t="str">
        <v/>
      </c>
      <c r="AKL1" t="str">
        <v/>
      </c>
      <c r="AKM1" t="str">
        <v/>
      </c>
      <c r="AKN1" t="str">
        <v/>
      </c>
      <c r="AKO1" t="str">
        <v/>
      </c>
      <c r="AKP1" t="str">
        <v/>
      </c>
      <c r="AKQ1" t="str">
        <v/>
      </c>
      <c r="AKR1" t="str">
        <v/>
      </c>
      <c r="AKS1" t="str">
        <v/>
      </c>
      <c r="AKT1" t="str">
        <v/>
      </c>
      <c r="AKU1" t="str">
        <v/>
      </c>
      <c r="AKV1" t="str">
        <v/>
      </c>
      <c r="AKW1" t="str">
        <v/>
      </c>
      <c r="AKX1" t="str">
        <v/>
      </c>
      <c r="AKY1" t="str">
        <v/>
      </c>
      <c r="AKZ1" t="str">
        <v/>
      </c>
      <c r="ALA1" t="str">
        <v/>
      </c>
      <c r="ALB1" t="str">
        <v/>
      </c>
      <c r="ALC1" t="str">
        <v/>
      </c>
      <c r="ALD1" t="str">
        <v/>
      </c>
      <c r="ALE1" t="str">
        <v/>
      </c>
      <c r="ALF1" t="str">
        <v/>
      </c>
      <c r="ALG1" t="str">
        <v/>
      </c>
      <c r="ALH1" t="str">
        <v/>
      </c>
      <c r="ALI1" t="str">
        <v/>
      </c>
      <c r="ALJ1" t="str">
        <v/>
      </c>
      <c r="ALK1" t="str">
        <v/>
      </c>
      <c r="ALL1" t="str">
        <v/>
      </c>
    </row>
    <row r="2" spans="1:1000" x14ac:dyDescent="0.3">
      <c r="A2" s="9">
        <v>1</v>
      </c>
      <c r="B2" s="12">
        <v>0.14899999999999999</v>
      </c>
      <c r="C2" s="12">
        <v>0.14899999999999999</v>
      </c>
    </row>
    <row r="3" spans="1:1000" x14ac:dyDescent="0.3">
      <c r="A3" s="9">
        <v>2</v>
      </c>
      <c r="B3" s="12">
        <v>0.25900000000000001</v>
      </c>
      <c r="C3" s="12">
        <v>0.25900000000000001</v>
      </c>
    </row>
    <row r="4" spans="1:1000" x14ac:dyDescent="0.3">
      <c r="A4" s="9">
        <v>4</v>
      </c>
      <c r="B4" s="12">
        <v>0.438</v>
      </c>
      <c r="C4" s="12">
        <v>0.438</v>
      </c>
    </row>
    <row r="5" spans="1:1000" x14ac:dyDescent="0.3">
      <c r="A5" s="9">
        <v>6</v>
      </c>
      <c r="B5" s="12">
        <v>0.58699999999999997</v>
      </c>
      <c r="C5" s="12">
        <v>0.58699999999999997</v>
      </c>
    </row>
    <row r="6" spans="1:1000" x14ac:dyDescent="0.3">
      <c r="A6" s="9">
        <v>8</v>
      </c>
      <c r="B6" s="12">
        <v>0.65800000000000003</v>
      </c>
      <c r="C6" s="12">
        <v>0.65800000000000003</v>
      </c>
    </row>
    <row r="7" spans="1:1000" x14ac:dyDescent="0.3">
      <c r="A7" s="9">
        <v>10</v>
      </c>
      <c r="B7" s="12">
        <v>0.77600000000000002</v>
      </c>
      <c r="C7" s="12">
        <v>0.77600000000000002</v>
      </c>
    </row>
    <row r="8" spans="1:1000" x14ac:dyDescent="0.3">
      <c r="A8" s="9">
        <v>12</v>
      </c>
      <c r="B8" s="12">
        <v>0.81599999999999995</v>
      </c>
      <c r="C8" s="12">
        <v>0.81599999999999995</v>
      </c>
    </row>
    <row r="9" spans="1:1000" x14ac:dyDescent="0.3">
      <c r="A9" s="9">
        <v>14</v>
      </c>
      <c r="B9" s="12">
        <v>0.85599999999999998</v>
      </c>
      <c r="C9" s="12">
        <v>0.85599999999999998</v>
      </c>
    </row>
    <row r="10" spans="1:1000" x14ac:dyDescent="0.3">
      <c r="A10" s="9">
        <v>18</v>
      </c>
      <c r="B10" s="12">
        <v>0.90700000000000003</v>
      </c>
      <c r="C10" s="12">
        <v>0.90700000000000003</v>
      </c>
    </row>
    <row r="11" spans="1:1000" x14ac:dyDescent="0.3">
      <c r="A11" s="9">
        <v>24</v>
      </c>
      <c r="B11" s="12">
        <v>1</v>
      </c>
      <c r="C11" s="12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BFDF-ABB4-4287-9F76-768D0CF54D44}">
  <sheetPr codeName="Sheet5"/>
  <dimension ref="A1:R243"/>
  <sheetViews>
    <sheetView workbookViewId="0">
      <selection activeCell="D21" sqref="D21"/>
    </sheetView>
  </sheetViews>
  <sheetFormatPr defaultRowHeight="14.4" x14ac:dyDescent="0.3"/>
  <cols>
    <col min="1" max="1" width="12.88671875" bestFit="1" customWidth="1"/>
    <col min="2" max="2" width="17.6640625" bestFit="1" customWidth="1"/>
    <col min="4" max="4" width="12.88671875" bestFit="1" customWidth="1"/>
    <col min="5" max="5" width="17.6640625" bestFit="1" customWidth="1"/>
    <col min="6" max="6" width="8.88671875" customWidth="1"/>
    <col min="7" max="7" width="12.88671875" bestFit="1" customWidth="1"/>
    <col min="8" max="8" width="17.6640625" bestFit="1" customWidth="1"/>
    <col min="9" max="9" width="8.88671875" customWidth="1"/>
    <col min="10" max="10" width="12.88671875" bestFit="1" customWidth="1"/>
    <col min="11" max="11" width="17.6640625" bestFit="1" customWidth="1"/>
    <col min="12" max="12" width="8.88671875" customWidth="1"/>
    <col min="13" max="13" width="12.88671875" bestFit="1" customWidth="1"/>
    <col min="14" max="14" width="11.5546875" bestFit="1" customWidth="1"/>
    <col min="16" max="16" width="12.44140625" bestFit="1" customWidth="1"/>
    <col min="17" max="17" width="11.109375" bestFit="1" customWidth="1"/>
  </cols>
  <sheetData>
    <row r="1" spans="1:18" x14ac:dyDescent="0.3">
      <c r="A1" s="9" t="s">
        <v>29</v>
      </c>
      <c r="B1" s="9" t="s">
        <v>32</v>
      </c>
      <c r="C1" s="9"/>
      <c r="D1" s="9" t="s">
        <v>33</v>
      </c>
      <c r="E1" s="9" t="s">
        <v>34</v>
      </c>
      <c r="F1" s="9"/>
      <c r="G1" s="9" t="s">
        <v>35</v>
      </c>
      <c r="H1" s="9" t="s">
        <v>36</v>
      </c>
      <c r="I1" s="9"/>
      <c r="J1" s="9" t="s">
        <v>37</v>
      </c>
      <c r="K1" s="9" t="s">
        <v>38</v>
      </c>
      <c r="L1" s="9"/>
      <c r="M1" s="9" t="s">
        <v>39</v>
      </c>
      <c r="N1" s="9" t="s">
        <v>40</v>
      </c>
      <c r="P1" s="9" t="s">
        <v>42</v>
      </c>
      <c r="Q1" s="9" t="s">
        <v>43</v>
      </c>
    </row>
    <row r="2" spans="1:18" x14ac:dyDescent="0.3">
      <c r="A2" s="4" t="s">
        <v>30</v>
      </c>
      <c r="B2" s="4" t="s">
        <v>31</v>
      </c>
      <c r="C2" s="4"/>
      <c r="D2" s="4" t="s">
        <v>30</v>
      </c>
      <c r="E2" s="4" t="s">
        <v>31</v>
      </c>
      <c r="F2" s="4"/>
      <c r="G2" s="4" t="s">
        <v>30</v>
      </c>
      <c r="H2" s="4" t="s">
        <v>31</v>
      </c>
      <c r="I2" s="4"/>
      <c r="J2" s="4" t="s">
        <v>30</v>
      </c>
      <c r="K2" s="4" t="s">
        <v>31</v>
      </c>
      <c r="L2" s="4"/>
      <c r="M2" s="4" t="s">
        <v>30</v>
      </c>
      <c r="N2" s="4" t="s">
        <v>31</v>
      </c>
      <c r="P2" s="4" t="s">
        <v>30</v>
      </c>
      <c r="Q2" s="4" t="s">
        <v>31</v>
      </c>
    </row>
    <row r="3" spans="1:18" x14ac:dyDescent="0.3">
      <c r="A3" s="16">
        <v>0</v>
      </c>
      <c r="B3" s="16">
        <v>0</v>
      </c>
      <c r="C3" s="4"/>
      <c r="D3" s="16">
        <v>0</v>
      </c>
      <c r="E3" s="16">
        <v>0</v>
      </c>
      <c r="F3" s="16"/>
      <c r="G3" s="16">
        <v>0</v>
      </c>
      <c r="H3" s="16">
        <v>0</v>
      </c>
      <c r="I3" s="16"/>
      <c r="J3" s="16">
        <v>0</v>
      </c>
      <c r="K3" s="16">
        <v>0</v>
      </c>
      <c r="L3" s="16"/>
      <c r="M3" s="16">
        <v>0</v>
      </c>
      <c r="N3" s="16">
        <v>0</v>
      </c>
      <c r="P3" s="17">
        <v>0</v>
      </c>
      <c r="Q3" s="17">
        <v>0</v>
      </c>
      <c r="R3" s="17"/>
    </row>
    <row r="4" spans="1:18" x14ac:dyDescent="0.3">
      <c r="A4" s="16">
        <v>0.1</v>
      </c>
      <c r="B4" s="16">
        <v>0.21016949152542386</v>
      </c>
      <c r="C4" s="4"/>
      <c r="D4" s="16">
        <v>0.1</v>
      </c>
      <c r="E4" s="16">
        <v>0.14006514657980451</v>
      </c>
      <c r="F4" s="16"/>
      <c r="G4" s="16">
        <v>0.1</v>
      </c>
      <c r="H4" s="16">
        <v>0.14726027397260277</v>
      </c>
      <c r="I4" s="16"/>
      <c r="J4" s="16">
        <v>4.1666666666666664E-2</v>
      </c>
      <c r="K4" s="16">
        <v>1.7000000000000001E-2</v>
      </c>
      <c r="L4" s="16"/>
      <c r="M4" s="16">
        <v>4.1666666666666664E-2</v>
      </c>
      <c r="N4" s="16">
        <v>0.02</v>
      </c>
      <c r="P4" s="17">
        <v>4.1666666666666666E-3</v>
      </c>
      <c r="Q4" s="17">
        <v>5.8333333333333336E-3</v>
      </c>
      <c r="R4" s="17"/>
    </row>
    <row r="5" spans="1:18" x14ac:dyDescent="0.3">
      <c r="A5" s="16">
        <v>0.2</v>
      </c>
      <c r="B5" s="16">
        <v>0.4</v>
      </c>
      <c r="C5" s="4"/>
      <c r="D5" s="16">
        <v>0.2</v>
      </c>
      <c r="E5" s="16">
        <v>0.28664495114006527</v>
      </c>
      <c r="F5" s="16"/>
      <c r="G5" s="16">
        <v>0.2</v>
      </c>
      <c r="H5" s="16">
        <v>0.26027397260273943</v>
      </c>
      <c r="I5" s="16"/>
      <c r="J5" s="16">
        <v>8.3333333333333329E-2</v>
      </c>
      <c r="K5" s="16">
        <v>3.5000000000000003E-2</v>
      </c>
      <c r="L5" s="16"/>
      <c r="M5" s="16">
        <v>8.3333333333333329E-2</v>
      </c>
      <c r="N5" s="16">
        <v>0.05</v>
      </c>
      <c r="P5" s="17">
        <v>8.3333333333333332E-3</v>
      </c>
      <c r="Q5" s="17">
        <v>1.1666666666666667E-2</v>
      </c>
      <c r="R5" s="17"/>
    </row>
    <row r="6" spans="1:18" x14ac:dyDescent="0.3">
      <c r="A6" s="16">
        <v>0.3</v>
      </c>
      <c r="B6" s="16">
        <v>0.54237288135593231</v>
      </c>
      <c r="C6" s="4"/>
      <c r="D6" s="16">
        <v>0.3</v>
      </c>
      <c r="E6" s="16">
        <v>0.42019543973941376</v>
      </c>
      <c r="F6" s="16"/>
      <c r="G6" s="16">
        <v>0.3</v>
      </c>
      <c r="H6" s="16">
        <v>0.36643835616438347</v>
      </c>
      <c r="I6" s="16"/>
      <c r="J6" s="16">
        <v>0.125</v>
      </c>
      <c r="K6" s="16">
        <v>5.5E-2</v>
      </c>
      <c r="L6" s="16"/>
      <c r="M6" s="16">
        <v>0.125</v>
      </c>
      <c r="N6" s="16">
        <v>8.2000000000000003E-2</v>
      </c>
      <c r="P6" s="17">
        <v>1.2500000000000002E-2</v>
      </c>
      <c r="Q6" s="17">
        <v>1.7500000000000002E-2</v>
      </c>
      <c r="R6" s="17"/>
    </row>
    <row r="7" spans="1:18" x14ac:dyDescent="0.3">
      <c r="A7" s="16">
        <v>0.4</v>
      </c>
      <c r="B7" s="16">
        <v>0.63050847457627146</v>
      </c>
      <c r="C7" s="4"/>
      <c r="D7" s="16">
        <v>0.4</v>
      </c>
      <c r="E7" s="16">
        <v>0.56026058631921827</v>
      </c>
      <c r="F7" s="16"/>
      <c r="G7" s="16">
        <v>0.4</v>
      </c>
      <c r="H7" s="16">
        <v>0.45547945205479456</v>
      </c>
      <c r="I7" s="16"/>
      <c r="J7" s="16">
        <v>0.16666666666666666</v>
      </c>
      <c r="K7" s="16">
        <v>7.5999999999999998E-2</v>
      </c>
      <c r="L7" s="16"/>
      <c r="M7" s="16">
        <v>0.16666666666666666</v>
      </c>
      <c r="N7" s="16">
        <v>0.11600000000000001</v>
      </c>
      <c r="P7" s="17">
        <v>1.6666666666666666E-2</v>
      </c>
      <c r="Q7" s="17">
        <v>2.3333333333333334E-2</v>
      </c>
      <c r="R7" s="17"/>
    </row>
    <row r="8" spans="1:18" x14ac:dyDescent="0.3">
      <c r="A8" s="16">
        <v>0.5</v>
      </c>
      <c r="B8" s="16">
        <v>0.71525423728813564</v>
      </c>
      <c r="C8" s="4"/>
      <c r="D8" s="16">
        <v>0.5</v>
      </c>
      <c r="E8" s="16">
        <v>0.72638436482084712</v>
      </c>
      <c r="F8" s="16"/>
      <c r="G8" s="16">
        <v>0.5</v>
      </c>
      <c r="H8" s="16">
        <v>0.54452054794520532</v>
      </c>
      <c r="I8" s="16"/>
      <c r="J8" s="16">
        <v>0.20833333333333334</v>
      </c>
      <c r="K8" s="16">
        <v>9.9000000000000005E-2</v>
      </c>
      <c r="L8" s="16"/>
      <c r="M8" s="16">
        <v>0.20833333333333334</v>
      </c>
      <c r="N8" s="16">
        <v>0.156</v>
      </c>
      <c r="P8" s="17">
        <v>2.0833333333333329E-2</v>
      </c>
      <c r="Q8" s="17">
        <v>2.916666666666666E-2</v>
      </c>
      <c r="R8" s="17"/>
    </row>
    <row r="9" spans="1:18" x14ac:dyDescent="0.3">
      <c r="A9" s="16">
        <v>0.6</v>
      </c>
      <c r="B9" s="16">
        <v>0.78305084745762743</v>
      </c>
      <c r="C9" s="4"/>
      <c r="D9" s="16">
        <v>0.6</v>
      </c>
      <c r="E9" s="16">
        <v>0.80130293159609101</v>
      </c>
      <c r="F9" s="16"/>
      <c r="G9" s="16">
        <v>0.6</v>
      </c>
      <c r="H9" s="16">
        <v>0.68835616438356151</v>
      </c>
      <c r="I9" s="16"/>
      <c r="J9" s="16">
        <v>0.25</v>
      </c>
      <c r="K9" s="16">
        <v>0.126</v>
      </c>
      <c r="L9" s="16"/>
      <c r="M9" s="16">
        <v>0.25</v>
      </c>
      <c r="N9" s="16">
        <v>0.20599999999999999</v>
      </c>
      <c r="P9" s="17">
        <v>2.5000000000000001E-2</v>
      </c>
      <c r="Q9" s="17">
        <v>3.5000000000000003E-2</v>
      </c>
      <c r="R9" s="17"/>
    </row>
    <row r="10" spans="1:18" x14ac:dyDescent="0.3">
      <c r="A10" s="16">
        <v>0.7</v>
      </c>
      <c r="B10" s="16">
        <v>0.85423728813559352</v>
      </c>
      <c r="C10" s="4"/>
      <c r="D10" s="16">
        <v>0.7</v>
      </c>
      <c r="E10" s="16">
        <v>0.8827361563517917</v>
      </c>
      <c r="F10" s="16"/>
      <c r="G10" s="16">
        <v>0.7</v>
      </c>
      <c r="H10" s="16">
        <v>0.81164383561643805</v>
      </c>
      <c r="I10" s="16"/>
      <c r="J10" s="16">
        <v>0.29166666666666669</v>
      </c>
      <c r="K10" s="16">
        <v>0.156</v>
      </c>
      <c r="L10" s="16"/>
      <c r="M10" s="16">
        <v>0.29166666666666669</v>
      </c>
      <c r="N10" s="16">
        <v>0.26800000000000002</v>
      </c>
      <c r="P10" s="17">
        <v>2.9166666666666664E-2</v>
      </c>
      <c r="Q10" s="17">
        <v>4.0833333333333333E-2</v>
      </c>
      <c r="R10" s="17"/>
    </row>
    <row r="11" spans="1:18" x14ac:dyDescent="0.3">
      <c r="A11" s="16">
        <v>0.8</v>
      </c>
      <c r="B11" s="16">
        <v>0.91186440677966119</v>
      </c>
      <c r="C11" s="4"/>
      <c r="D11" s="16">
        <v>0.8</v>
      </c>
      <c r="E11" s="16">
        <v>0.94136807817589574</v>
      </c>
      <c r="F11" s="16"/>
      <c r="G11" s="16">
        <v>0.8</v>
      </c>
      <c r="H11" s="16">
        <v>0.90753424657534243</v>
      </c>
      <c r="I11" s="16"/>
      <c r="J11" s="16">
        <v>0.33333333333333331</v>
      </c>
      <c r="K11" s="16">
        <v>0.19400000000000001</v>
      </c>
      <c r="L11" s="16"/>
      <c r="M11" s="16">
        <v>0.33333333333333331</v>
      </c>
      <c r="N11" s="16">
        <v>0.42499999999999999</v>
      </c>
      <c r="P11" s="17">
        <v>3.3333333333333333E-2</v>
      </c>
      <c r="Q11" s="17">
        <v>4.6666666666666669E-2</v>
      </c>
      <c r="R11" s="17"/>
    </row>
    <row r="12" spans="1:18" x14ac:dyDescent="0.3">
      <c r="A12" s="16">
        <v>0.9</v>
      </c>
      <c r="B12" s="16">
        <v>0.95932203389830528</v>
      </c>
      <c r="C12" s="4"/>
      <c r="D12" s="16">
        <v>0.9</v>
      </c>
      <c r="E12" s="16">
        <v>0.97394136807817577</v>
      </c>
      <c r="F12" s="16"/>
      <c r="G12" s="16">
        <v>0.9</v>
      </c>
      <c r="H12" s="16">
        <v>0.96232876712328763</v>
      </c>
      <c r="I12" s="16"/>
      <c r="J12" s="16">
        <v>0.375</v>
      </c>
      <c r="K12" s="16">
        <v>0.254</v>
      </c>
      <c r="L12" s="16"/>
      <c r="M12" s="16">
        <v>0.375</v>
      </c>
      <c r="N12" s="16">
        <v>0.52</v>
      </c>
      <c r="P12" s="17">
        <v>3.7499999999999999E-2</v>
      </c>
      <c r="Q12" s="17">
        <v>5.2499999999999998E-2</v>
      </c>
      <c r="R12" s="17"/>
    </row>
    <row r="13" spans="1:18" x14ac:dyDescent="0.3">
      <c r="A13" s="16">
        <v>1</v>
      </c>
      <c r="B13" s="16">
        <v>1</v>
      </c>
      <c r="C13" s="4"/>
      <c r="D13" s="16">
        <v>1</v>
      </c>
      <c r="E13" s="16">
        <v>1</v>
      </c>
      <c r="F13" s="16"/>
      <c r="G13" s="16">
        <v>1</v>
      </c>
      <c r="H13" s="16">
        <v>1</v>
      </c>
      <c r="I13" s="16"/>
      <c r="J13" s="16">
        <v>0.41666666666666669</v>
      </c>
      <c r="K13" s="16">
        <v>0.51500000000000001</v>
      </c>
      <c r="L13" s="16"/>
      <c r="M13" s="16">
        <v>0.41666666666666669</v>
      </c>
      <c r="N13" s="16">
        <v>0.57699999999999996</v>
      </c>
      <c r="P13" s="17">
        <v>4.1666666666666657E-2</v>
      </c>
      <c r="Q13" s="17">
        <v>5.833333333333332E-2</v>
      </c>
      <c r="R13" s="17"/>
    </row>
    <row r="14" spans="1:18" x14ac:dyDescent="0.3">
      <c r="A14" s="4"/>
      <c r="B14" s="4"/>
      <c r="C14" s="4"/>
      <c r="D14" s="4"/>
      <c r="E14" s="4"/>
      <c r="F14" s="4"/>
      <c r="G14" s="4"/>
      <c r="H14" s="4"/>
      <c r="I14" s="16"/>
      <c r="J14" s="16">
        <v>0.45833333333333331</v>
      </c>
      <c r="K14" s="16">
        <v>0.624</v>
      </c>
      <c r="L14" s="16"/>
      <c r="M14" s="16">
        <v>0.45833333333333331</v>
      </c>
      <c r="N14" s="16">
        <v>0.624</v>
      </c>
      <c r="P14" s="17">
        <v>4.583333333333333E-2</v>
      </c>
      <c r="Q14" s="17">
        <v>6.4166666666666664E-2</v>
      </c>
      <c r="R14" s="17"/>
    </row>
    <row r="15" spans="1:18" x14ac:dyDescent="0.3">
      <c r="A15" s="4"/>
      <c r="B15" s="4"/>
      <c r="C15" s="4"/>
      <c r="D15" s="4"/>
      <c r="E15" s="4"/>
      <c r="F15" s="4"/>
      <c r="G15" s="4"/>
      <c r="H15" s="4"/>
      <c r="I15" s="16"/>
      <c r="J15" s="16">
        <v>0.5</v>
      </c>
      <c r="K15" s="16">
        <v>0.68200000000000005</v>
      </c>
      <c r="L15" s="16"/>
      <c r="M15" s="16">
        <v>0.5</v>
      </c>
      <c r="N15" s="16">
        <v>0.66400000000000003</v>
      </c>
      <c r="P15" s="17">
        <v>0.05</v>
      </c>
      <c r="Q15" s="17">
        <v>7.0000000000000007E-2</v>
      </c>
      <c r="R15" s="17"/>
    </row>
    <row r="16" spans="1:18" x14ac:dyDescent="0.3">
      <c r="A16" s="4"/>
      <c r="B16" s="4"/>
      <c r="C16" s="4"/>
      <c r="D16" s="4"/>
      <c r="E16" s="4"/>
      <c r="F16" s="4"/>
      <c r="G16" s="4"/>
      <c r="H16" s="4"/>
      <c r="I16" s="16"/>
      <c r="J16" s="16">
        <v>0.54166666666666663</v>
      </c>
      <c r="K16" s="16">
        <v>0.72799999999999998</v>
      </c>
      <c r="L16" s="16"/>
      <c r="M16" s="16">
        <v>0.54166666666666663</v>
      </c>
      <c r="N16" s="16">
        <v>0.70099999999999996</v>
      </c>
      <c r="P16" s="17">
        <v>5.4166666666666669E-2</v>
      </c>
      <c r="Q16" s="17">
        <v>7.5833333333333336E-2</v>
      </c>
      <c r="R16" s="17"/>
    </row>
    <row r="17" spans="1:18" x14ac:dyDescent="0.3">
      <c r="A17" s="4"/>
      <c r="B17" s="4"/>
      <c r="C17" s="4"/>
      <c r="D17" s="4"/>
      <c r="E17" s="4"/>
      <c r="F17" s="4"/>
      <c r="G17" s="4"/>
      <c r="H17" s="4"/>
      <c r="I17" s="16"/>
      <c r="J17" s="16">
        <v>0.58333333333333337</v>
      </c>
      <c r="K17" s="16">
        <v>0.76600000000000001</v>
      </c>
      <c r="L17" s="16"/>
      <c r="M17" s="16">
        <v>0.58333333333333337</v>
      </c>
      <c r="N17" s="16">
        <v>0.73599999999999999</v>
      </c>
      <c r="P17" s="17">
        <v>5.8333333333333341E-2</v>
      </c>
      <c r="Q17" s="17">
        <v>8.1666666666666679E-2</v>
      </c>
      <c r="R17" s="17"/>
    </row>
    <row r="18" spans="1:18" x14ac:dyDescent="0.3">
      <c r="A18" s="4"/>
      <c r="B18" s="4"/>
      <c r="C18" s="4"/>
      <c r="D18" s="4"/>
      <c r="E18" s="4"/>
      <c r="F18" s="4"/>
      <c r="G18" s="4"/>
      <c r="H18" s="4"/>
      <c r="I18" s="16"/>
      <c r="J18" s="16">
        <v>0.625</v>
      </c>
      <c r="K18" s="16">
        <v>0.79900000000000004</v>
      </c>
      <c r="L18" s="16"/>
      <c r="M18" s="16">
        <v>0.625</v>
      </c>
      <c r="N18" s="16">
        <v>0.76900000000000002</v>
      </c>
      <c r="P18" s="17">
        <v>6.2500000000000014E-2</v>
      </c>
      <c r="Q18" s="17">
        <v>8.7500000000000022E-2</v>
      </c>
      <c r="R18" s="17"/>
    </row>
    <row r="19" spans="1:18" x14ac:dyDescent="0.3">
      <c r="A19" s="4"/>
      <c r="B19" s="4"/>
      <c r="C19" s="4"/>
      <c r="D19" s="4"/>
      <c r="E19" s="4"/>
      <c r="F19" s="4"/>
      <c r="G19" s="4"/>
      <c r="H19" s="4"/>
      <c r="I19" s="16"/>
      <c r="J19" s="16">
        <v>0.66666666666666663</v>
      </c>
      <c r="K19" s="16">
        <v>0.83</v>
      </c>
      <c r="L19" s="16"/>
      <c r="M19" s="16">
        <v>0.66666666666666663</v>
      </c>
      <c r="N19" s="16">
        <v>0.8</v>
      </c>
      <c r="P19" s="17">
        <v>6.666666666666668E-2</v>
      </c>
      <c r="Q19" s="17">
        <v>9.3333333333333351E-2</v>
      </c>
      <c r="R19" s="17"/>
    </row>
    <row r="20" spans="1:18" x14ac:dyDescent="0.3">
      <c r="A20" s="4"/>
      <c r="B20" s="4"/>
      <c r="C20" s="4"/>
      <c r="D20" s="4"/>
      <c r="E20" s="4"/>
      <c r="F20" s="4"/>
      <c r="G20" s="4"/>
      <c r="H20" s="4"/>
      <c r="I20" s="16"/>
      <c r="J20" s="16">
        <v>0.70833333333333337</v>
      </c>
      <c r="K20" s="16">
        <v>0.85699999999999998</v>
      </c>
      <c r="L20" s="16"/>
      <c r="M20" s="16">
        <v>0.70833333333333337</v>
      </c>
      <c r="N20" s="16">
        <v>0.83</v>
      </c>
      <c r="P20" s="17">
        <v>7.0833333333333345E-2</v>
      </c>
      <c r="Q20" s="17">
        <v>9.9166666666666681E-2</v>
      </c>
      <c r="R20" s="17"/>
    </row>
    <row r="21" spans="1:18" x14ac:dyDescent="0.3">
      <c r="A21" s="4"/>
      <c r="B21" s="4"/>
      <c r="C21" s="4"/>
      <c r="D21" s="4"/>
      <c r="E21" s="4"/>
      <c r="F21" s="4"/>
      <c r="G21" s="4"/>
      <c r="H21" s="4"/>
      <c r="I21" s="16"/>
      <c r="J21" s="16">
        <v>0.75</v>
      </c>
      <c r="K21" s="16">
        <v>0.88200000000000001</v>
      </c>
      <c r="L21" s="16"/>
      <c r="M21" s="16">
        <v>0.75</v>
      </c>
      <c r="N21" s="16">
        <v>0.85799999999999998</v>
      </c>
      <c r="P21" s="17">
        <v>7.5000000000000025E-2</v>
      </c>
      <c r="Q21" s="17">
        <v>0.10500000000000004</v>
      </c>
      <c r="R21" s="17"/>
    </row>
    <row r="22" spans="1:18" x14ac:dyDescent="0.3">
      <c r="A22" s="4"/>
      <c r="B22" s="4"/>
      <c r="C22" s="4"/>
      <c r="D22" s="4"/>
      <c r="E22" s="4"/>
      <c r="F22" s="4"/>
      <c r="G22" s="4"/>
      <c r="H22" s="4"/>
      <c r="I22" s="16"/>
      <c r="J22" s="16">
        <v>0.79166666666666663</v>
      </c>
      <c r="K22" s="16">
        <v>0.90500000000000003</v>
      </c>
      <c r="L22" s="16"/>
      <c r="M22" s="16">
        <v>0.79166666666666663</v>
      </c>
      <c r="N22" s="16">
        <v>0.88400000000000001</v>
      </c>
      <c r="P22" s="17">
        <v>7.9166666666666691E-2</v>
      </c>
      <c r="Q22" s="17">
        <v>0.11083333333333335</v>
      </c>
      <c r="R22" s="17"/>
    </row>
    <row r="23" spans="1:18" x14ac:dyDescent="0.3">
      <c r="A23" s="4"/>
      <c r="B23" s="4"/>
      <c r="C23" s="4"/>
      <c r="D23" s="4"/>
      <c r="E23" s="4"/>
      <c r="F23" s="4"/>
      <c r="G23" s="4"/>
      <c r="H23" s="4"/>
      <c r="I23" s="16"/>
      <c r="J23" s="16">
        <v>0.83333333333333337</v>
      </c>
      <c r="K23" s="16">
        <v>0.92600000000000005</v>
      </c>
      <c r="L23" s="16"/>
      <c r="M23" s="16">
        <v>0.83333333333333337</v>
      </c>
      <c r="N23" s="16">
        <v>0.90800000000000003</v>
      </c>
      <c r="P23" s="17">
        <v>8.3333333333333356E-2</v>
      </c>
      <c r="Q23" s="17">
        <v>0.1166666666666667</v>
      </c>
      <c r="R23" s="17"/>
    </row>
    <row r="24" spans="1:18" x14ac:dyDescent="0.3">
      <c r="A24" s="4"/>
      <c r="B24" s="4"/>
      <c r="C24" s="4"/>
      <c r="D24" s="4"/>
      <c r="E24" s="4"/>
      <c r="F24" s="4"/>
      <c r="G24" s="4"/>
      <c r="H24" s="4"/>
      <c r="I24" s="16"/>
      <c r="J24" s="16">
        <v>0.875</v>
      </c>
      <c r="K24" s="16">
        <v>0.94599999999999995</v>
      </c>
      <c r="L24" s="16"/>
      <c r="M24" s="16">
        <v>0.875</v>
      </c>
      <c r="N24" s="16">
        <v>0.93200000000000005</v>
      </c>
      <c r="P24" s="17">
        <v>8.7500000000000022E-2</v>
      </c>
      <c r="Q24" s="17">
        <v>0.12250000000000001</v>
      </c>
      <c r="R24" s="17"/>
    </row>
    <row r="25" spans="1:18" x14ac:dyDescent="0.3">
      <c r="A25" s="4"/>
      <c r="B25" s="4"/>
      <c r="C25" s="4"/>
      <c r="D25" s="4"/>
      <c r="E25" s="4"/>
      <c r="F25" s="4"/>
      <c r="G25" s="4"/>
      <c r="H25" s="4"/>
      <c r="I25" s="16"/>
      <c r="J25" s="16">
        <v>0.91666666666666663</v>
      </c>
      <c r="K25" s="16">
        <v>0.96499999999999997</v>
      </c>
      <c r="L25" s="16"/>
      <c r="M25" s="16">
        <v>0.91666666666666663</v>
      </c>
      <c r="N25" s="16">
        <v>0.95599999999999996</v>
      </c>
      <c r="P25" s="17">
        <v>9.1666666666666702E-2</v>
      </c>
      <c r="Q25" s="17">
        <v>0.12833333333333338</v>
      </c>
      <c r="R25" s="17"/>
    </row>
    <row r="26" spans="1:18" x14ac:dyDescent="0.3">
      <c r="A26" s="4"/>
      <c r="B26" s="4"/>
      <c r="C26" s="4"/>
      <c r="D26" s="4"/>
      <c r="E26" s="4"/>
      <c r="F26" s="4"/>
      <c r="G26" s="4"/>
      <c r="H26" s="4"/>
      <c r="I26" s="16"/>
      <c r="J26" s="16">
        <v>0.95833333333333337</v>
      </c>
      <c r="K26" s="16">
        <v>0.98299999999999998</v>
      </c>
      <c r="L26" s="16"/>
      <c r="M26" s="16">
        <v>0.95833333333333337</v>
      </c>
      <c r="N26" s="16">
        <v>0.97799999999999998</v>
      </c>
      <c r="P26" s="17">
        <v>9.5833333333333381E-2</v>
      </c>
      <c r="Q26" s="17">
        <v>0.13416666666666674</v>
      </c>
      <c r="R26" s="17"/>
    </row>
    <row r="27" spans="1:18" x14ac:dyDescent="0.3">
      <c r="A27" s="4"/>
      <c r="B27" s="4"/>
      <c r="C27" s="4"/>
      <c r="D27" s="4"/>
      <c r="E27" s="4"/>
      <c r="F27" s="4"/>
      <c r="G27" s="4"/>
      <c r="H27" s="4"/>
      <c r="I27" s="16"/>
      <c r="J27" s="16">
        <v>1</v>
      </c>
      <c r="K27" s="16">
        <v>1</v>
      </c>
      <c r="L27" s="16"/>
      <c r="M27" s="16">
        <v>1</v>
      </c>
      <c r="N27" s="16">
        <v>1</v>
      </c>
      <c r="P27" s="17">
        <v>0.10000000000000003</v>
      </c>
      <c r="Q27" s="17">
        <v>0.14000000000000004</v>
      </c>
      <c r="R27" s="17"/>
    </row>
    <row r="28" spans="1:18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P28" s="17">
        <v>0.1041666666666667</v>
      </c>
      <c r="Q28" s="17">
        <v>0.14583333333333337</v>
      </c>
      <c r="R28" s="17"/>
    </row>
    <row r="29" spans="1:18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P29" s="17">
        <v>0.10833333333333338</v>
      </c>
      <c r="Q29" s="17">
        <v>0.15166666666666673</v>
      </c>
      <c r="R29" s="17"/>
    </row>
    <row r="30" spans="1:1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P30" s="17">
        <v>0.11250000000000003</v>
      </c>
      <c r="Q30" s="17">
        <v>0.15750000000000006</v>
      </c>
      <c r="R30" s="17"/>
    </row>
    <row r="31" spans="1:1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P31" s="17">
        <v>0.11666666666666671</v>
      </c>
      <c r="Q31" s="17">
        <v>0.16333333333333339</v>
      </c>
      <c r="R31" s="17"/>
    </row>
    <row r="32" spans="1:1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P32" s="17">
        <v>0.12083333333333339</v>
      </c>
      <c r="Q32" s="17">
        <v>0.16916666666666674</v>
      </c>
      <c r="R32" s="17"/>
    </row>
    <row r="33" spans="1:1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P33" s="17">
        <v>0.12500000000000006</v>
      </c>
      <c r="Q33" s="17">
        <v>0.17500000000000007</v>
      </c>
      <c r="R33" s="17"/>
    </row>
    <row r="34" spans="1:1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P34" s="17">
        <v>0.12916666666666674</v>
      </c>
      <c r="Q34" s="17">
        <v>0.18083333333333343</v>
      </c>
      <c r="R34" s="17"/>
    </row>
    <row r="35" spans="1:1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P35" s="17">
        <v>0.13333333333333339</v>
      </c>
      <c r="Q35" s="17">
        <v>0.18666666666666676</v>
      </c>
      <c r="R35" s="17"/>
    </row>
    <row r="36" spans="1:1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P36" s="17">
        <v>0.13750000000000007</v>
      </c>
      <c r="Q36" s="17">
        <v>0.19250000000000012</v>
      </c>
      <c r="R36" s="17"/>
    </row>
    <row r="37" spans="1:1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P37" s="17">
        <v>0.14166666666666675</v>
      </c>
      <c r="Q37" s="17">
        <v>0.19833333333333347</v>
      </c>
      <c r="R37" s="17"/>
    </row>
    <row r="38" spans="1:1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P38" s="17">
        <v>0.1458333333333334</v>
      </c>
      <c r="Q38" s="17">
        <v>0.20416666666666675</v>
      </c>
      <c r="R38" s="17"/>
    </row>
    <row r="39" spans="1:1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P39" s="17">
        <v>0.15000000000000008</v>
      </c>
      <c r="Q39" s="17">
        <v>0.2100000000000001</v>
      </c>
      <c r="R39" s="17"/>
    </row>
    <row r="40" spans="1:1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P40" s="17">
        <v>0.15416666666666676</v>
      </c>
      <c r="Q40" s="17">
        <v>0.21583333333333346</v>
      </c>
      <c r="R40" s="17"/>
    </row>
    <row r="41" spans="1:1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P41" s="17">
        <v>0.15833333333333341</v>
      </c>
      <c r="Q41" s="17">
        <v>0.22166666666666679</v>
      </c>
      <c r="R41" s="17"/>
    </row>
    <row r="42" spans="1:1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P42" s="17">
        <v>0.16250000000000006</v>
      </c>
      <c r="Q42" s="17">
        <v>0.22750000000000012</v>
      </c>
      <c r="R42" s="17"/>
    </row>
    <row r="43" spans="1:1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P43" s="17">
        <v>0.16666666666666674</v>
      </c>
      <c r="Q43" s="17">
        <v>0.23333333333333348</v>
      </c>
      <c r="R43" s="17"/>
    </row>
    <row r="44" spans="1:1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P44" s="17">
        <v>0.17083333333333339</v>
      </c>
      <c r="Q44" s="17">
        <v>0.23916666666666675</v>
      </c>
      <c r="R44" s="17"/>
    </row>
    <row r="45" spans="1:1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P45" s="17">
        <v>0.17500000000000004</v>
      </c>
      <c r="Q45" s="17">
        <v>0.24500000000000002</v>
      </c>
      <c r="R45" s="17"/>
    </row>
    <row r="46" spans="1:1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P46" s="17">
        <v>0.17916666666666672</v>
      </c>
      <c r="Q46" s="17">
        <v>0.25083333333333341</v>
      </c>
      <c r="R46" s="17"/>
    </row>
    <row r="47" spans="1:1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P47" s="17">
        <v>0.18333333333333335</v>
      </c>
      <c r="Q47" s="17">
        <v>0.25666666666666671</v>
      </c>
      <c r="R47" s="17"/>
    </row>
    <row r="48" spans="1:1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P48" s="17">
        <v>0.1875</v>
      </c>
      <c r="Q48" s="17">
        <v>0.26250000000000001</v>
      </c>
      <c r="R48" s="17"/>
    </row>
    <row r="49" spans="1:1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P49" s="17">
        <v>0.19166666666666665</v>
      </c>
      <c r="Q49" s="17">
        <v>0.26833333333333331</v>
      </c>
      <c r="R49" s="17"/>
    </row>
    <row r="50" spans="1:1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P50" s="17">
        <v>0.19583333333333328</v>
      </c>
      <c r="Q50" s="17">
        <v>0.27416666666666661</v>
      </c>
      <c r="R50" s="17"/>
    </row>
    <row r="51" spans="1:1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P51" s="17">
        <v>0.19999999999999996</v>
      </c>
      <c r="Q51" s="17">
        <v>0.27999999999999997</v>
      </c>
      <c r="R51" s="17"/>
    </row>
    <row r="52" spans="1:1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P52" s="17">
        <v>0.20416666666666661</v>
      </c>
      <c r="Q52" s="17">
        <v>0.28583333333333327</v>
      </c>
      <c r="R52" s="17"/>
    </row>
    <row r="53" spans="1:1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P53" s="17">
        <v>0.20833333333333326</v>
      </c>
      <c r="Q53" s="17">
        <v>0.29166666666666652</v>
      </c>
      <c r="R53" s="17"/>
    </row>
    <row r="54" spans="1:1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P54" s="17">
        <v>0.21249999999999994</v>
      </c>
      <c r="Q54" s="17">
        <v>0.29749999999999988</v>
      </c>
      <c r="R54" s="17"/>
    </row>
    <row r="55" spans="1:1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P55" s="17">
        <v>0.21666666666666656</v>
      </c>
      <c r="Q55" s="17">
        <v>0.30333333333333323</v>
      </c>
      <c r="R55" s="17"/>
    </row>
    <row r="56" spans="1:1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P56" s="17">
        <v>0.22083333333333321</v>
      </c>
      <c r="Q56" s="17">
        <v>0.30916666666666648</v>
      </c>
      <c r="R56" s="17"/>
    </row>
    <row r="57" spans="1:1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P57" s="17">
        <v>0.22499999999999987</v>
      </c>
      <c r="Q57" s="17">
        <v>0.31499999999999978</v>
      </c>
      <c r="R57" s="17"/>
    </row>
    <row r="58" spans="1:1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P58" s="17">
        <v>0.22916666666666649</v>
      </c>
      <c r="Q58" s="17">
        <v>0.32083333333333308</v>
      </c>
      <c r="R58" s="17"/>
    </row>
    <row r="59" spans="1:1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P59" s="17">
        <v>0.23333333333333317</v>
      </c>
      <c r="Q59" s="17">
        <v>0.32666666666666644</v>
      </c>
      <c r="R59" s="17"/>
    </row>
    <row r="60" spans="1:1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P60" s="17">
        <v>0.23749999999999982</v>
      </c>
      <c r="Q60" s="17">
        <v>0.33249999999999974</v>
      </c>
      <c r="R60" s="17"/>
    </row>
    <row r="61" spans="1:1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P61" s="17">
        <v>0.24166666666666647</v>
      </c>
      <c r="Q61" s="17">
        <v>0.3383333333333331</v>
      </c>
      <c r="R61" s="17"/>
    </row>
    <row r="62" spans="1:18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P62" s="17">
        <v>0.24583333333333315</v>
      </c>
      <c r="Q62" s="17">
        <v>0.34416666666666645</v>
      </c>
      <c r="R62" s="17"/>
    </row>
    <row r="63" spans="1:18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P63" s="17">
        <v>0.24999999999999978</v>
      </c>
      <c r="Q63" s="17">
        <v>0.3499999999999997</v>
      </c>
      <c r="R63" s="17"/>
    </row>
    <row r="64" spans="1:18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P64" s="17">
        <v>0.25416666666666643</v>
      </c>
      <c r="Q64" s="17">
        <v>0.355833333333333</v>
      </c>
      <c r="R64" s="17"/>
    </row>
    <row r="65" spans="1:1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P65" s="17">
        <v>0.25833333333333308</v>
      </c>
      <c r="Q65" s="17">
        <v>0.3616666666666663</v>
      </c>
      <c r="R65" s="17"/>
    </row>
    <row r="66" spans="1:1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P66" s="17">
        <v>0.26249999999999973</v>
      </c>
      <c r="Q66" s="17">
        <v>0.36749999999999955</v>
      </c>
      <c r="R66" s="17"/>
    </row>
    <row r="67" spans="1:1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P67" s="17">
        <v>0.26666666666666639</v>
      </c>
      <c r="Q67" s="17">
        <v>0.37333333333333291</v>
      </c>
      <c r="R67" s="17"/>
    </row>
    <row r="68" spans="1:1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P68" s="17">
        <v>0.27083333333333304</v>
      </c>
      <c r="Q68" s="17">
        <v>0.37916666666666626</v>
      </c>
      <c r="R68" s="17"/>
    </row>
    <row r="69" spans="1:1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P69" s="17">
        <v>0.27499999999999969</v>
      </c>
      <c r="Q69" s="17">
        <v>0.38499999999999956</v>
      </c>
      <c r="R69" s="17"/>
    </row>
    <row r="70" spans="1:1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P70" s="17">
        <v>0.27916666666666634</v>
      </c>
      <c r="Q70" s="17">
        <v>0.39083333333333292</v>
      </c>
      <c r="R70" s="17"/>
    </row>
    <row r="71" spans="1:1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P71" s="17">
        <v>0.28333333333333299</v>
      </c>
      <c r="Q71" s="17">
        <v>0.39666666666666622</v>
      </c>
      <c r="R71" s="17"/>
    </row>
    <row r="72" spans="1:1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P72" s="17">
        <v>0.28749999999999964</v>
      </c>
      <c r="Q72" s="17">
        <v>0.40249999999999952</v>
      </c>
      <c r="R72" s="17"/>
    </row>
    <row r="73" spans="1:1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P73" s="17">
        <v>0.2916666666666663</v>
      </c>
      <c r="Q73" s="17">
        <v>0.40833333333333277</v>
      </c>
      <c r="R73" s="17"/>
    </row>
    <row r="74" spans="1:1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P74" s="17">
        <v>0.29583333333333295</v>
      </c>
      <c r="Q74" s="17">
        <v>0.41416666666666607</v>
      </c>
      <c r="R74" s="17"/>
    </row>
    <row r="75" spans="1:1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P75" s="17">
        <v>0.2999999999999996</v>
      </c>
      <c r="Q75" s="17">
        <v>0.41999999999999943</v>
      </c>
      <c r="R75" s="17"/>
    </row>
    <row r="76" spans="1:1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P76" s="17">
        <v>0.30416666666666625</v>
      </c>
      <c r="Q76" s="17">
        <v>0.42583333333333273</v>
      </c>
      <c r="R76" s="17"/>
    </row>
    <row r="77" spans="1:1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P77" s="17">
        <v>0.3083333333333329</v>
      </c>
      <c r="Q77" s="17">
        <v>0.43166666666666609</v>
      </c>
      <c r="R77" s="17"/>
    </row>
    <row r="78" spans="1:1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P78" s="17">
        <v>0.31249999999999956</v>
      </c>
      <c r="Q78" s="17">
        <v>0.43749999999999944</v>
      </c>
      <c r="R78" s="17"/>
    </row>
    <row r="79" spans="1:1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P79" s="17">
        <v>0.31666666666666621</v>
      </c>
      <c r="Q79" s="17">
        <v>0.44333333333333269</v>
      </c>
      <c r="R79" s="17"/>
    </row>
    <row r="80" spans="1:1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P80" s="17">
        <v>0.32083333333333286</v>
      </c>
      <c r="Q80" s="17">
        <v>0.44916666666666599</v>
      </c>
      <c r="R80" s="17"/>
    </row>
    <row r="81" spans="1:1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P81" s="17">
        <v>0.32499999999999951</v>
      </c>
      <c r="Q81" s="17">
        <v>0.45499999999999929</v>
      </c>
      <c r="R81" s="17"/>
    </row>
    <row r="82" spans="1:1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P82" s="17">
        <v>0.32916666666666616</v>
      </c>
      <c r="Q82" s="17">
        <v>0.4608333333333326</v>
      </c>
      <c r="R82" s="17"/>
    </row>
    <row r="83" spans="1:1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P83" s="17">
        <v>0.33333333333333282</v>
      </c>
      <c r="Q83" s="17">
        <v>0.46666666666666595</v>
      </c>
      <c r="R83" s="17"/>
    </row>
    <row r="84" spans="1:1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P84" s="17">
        <v>0.33749999999999941</v>
      </c>
      <c r="Q84" s="17">
        <v>0.4724999999999992</v>
      </c>
      <c r="R84" s="17"/>
    </row>
    <row r="85" spans="1:1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P85" s="17">
        <v>0.34166666666666612</v>
      </c>
      <c r="Q85" s="17">
        <v>0.47833333333333256</v>
      </c>
      <c r="R85" s="17"/>
    </row>
    <row r="86" spans="1:1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P86" s="17">
        <v>0.34583333333333277</v>
      </c>
      <c r="Q86" s="17">
        <v>0.48416666666666591</v>
      </c>
      <c r="R86" s="17"/>
    </row>
    <row r="87" spans="1:1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P87" s="17">
        <v>0.34999999999999942</v>
      </c>
      <c r="Q87" s="17">
        <v>0.48999999999999921</v>
      </c>
      <c r="R87" s="17"/>
    </row>
    <row r="88" spans="1:1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P88" s="17">
        <v>0.35416666666666607</v>
      </c>
      <c r="Q88" s="17">
        <v>0.49583333333333252</v>
      </c>
      <c r="R88" s="17"/>
    </row>
    <row r="89" spans="1:1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P89" s="17">
        <v>0.35833333333333273</v>
      </c>
      <c r="Q89" s="17">
        <v>0.50166666666666582</v>
      </c>
      <c r="R89" s="17"/>
    </row>
    <row r="90" spans="1:1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P90" s="17">
        <v>0.36249999999999938</v>
      </c>
      <c r="Q90" s="17">
        <v>0.50749999999999906</v>
      </c>
      <c r="R90" s="17"/>
    </row>
    <row r="91" spans="1:1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P91" s="17">
        <v>0.36666666666666603</v>
      </c>
      <c r="Q91" s="17">
        <v>0.51333333333333242</v>
      </c>
      <c r="R91" s="17"/>
    </row>
    <row r="92" spans="1:1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P92" s="17">
        <v>0.37083333333333274</v>
      </c>
      <c r="Q92" s="17">
        <v>0.51916666666666578</v>
      </c>
      <c r="R92" s="17"/>
    </row>
    <row r="93" spans="1:1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P93" s="17">
        <v>0.37499999999999933</v>
      </c>
      <c r="Q93" s="17">
        <v>0.52499999999999902</v>
      </c>
      <c r="R93" s="17"/>
    </row>
    <row r="94" spans="1:1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P94" s="17">
        <v>0.37916666666666599</v>
      </c>
      <c r="Q94" s="17">
        <v>0.53083333333333238</v>
      </c>
      <c r="R94" s="17"/>
    </row>
    <row r="95" spans="1:1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P95" s="17">
        <v>0.38333333333333264</v>
      </c>
      <c r="Q95" s="17">
        <v>0.53666666666666574</v>
      </c>
      <c r="R95" s="17"/>
    </row>
    <row r="96" spans="1:1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P96" s="17">
        <v>0.38749999999999929</v>
      </c>
      <c r="Q96" s="17">
        <v>0.54249999999999898</v>
      </c>
      <c r="R96" s="17"/>
    </row>
    <row r="97" spans="1:1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P97" s="17">
        <v>0.39166666666666594</v>
      </c>
      <c r="Q97" s="17">
        <v>0.54833333333333234</v>
      </c>
      <c r="R97" s="17"/>
    </row>
    <row r="98" spans="1:1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P98" s="17">
        <v>0.39583333333333259</v>
      </c>
      <c r="Q98" s="17">
        <v>0.55416666666666559</v>
      </c>
      <c r="R98" s="17"/>
    </row>
    <row r="99" spans="1:1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P99" s="17">
        <v>0.39999999999999925</v>
      </c>
      <c r="Q99" s="17">
        <v>0.55999999999999894</v>
      </c>
      <c r="R99" s="17"/>
    </row>
    <row r="100" spans="1:1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P100" s="17">
        <v>0.40416666666666584</v>
      </c>
      <c r="Q100" s="17">
        <v>0.56666666666666532</v>
      </c>
      <c r="R100" s="17"/>
    </row>
    <row r="101" spans="1:1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P101" s="17">
        <v>0.40833333333333255</v>
      </c>
      <c r="Q101" s="17">
        <v>0.57333333333333214</v>
      </c>
      <c r="R101" s="17"/>
    </row>
    <row r="102" spans="1:1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P102" s="17">
        <v>0.4124999999999992</v>
      </c>
      <c r="Q102" s="17">
        <v>0.57999999999999874</v>
      </c>
      <c r="R102" s="17"/>
    </row>
    <row r="103" spans="1:1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P103" s="17">
        <v>0.41666666666666585</v>
      </c>
      <c r="Q103" s="17">
        <v>0.58666666666666534</v>
      </c>
      <c r="R103" s="17"/>
    </row>
    <row r="104" spans="1:1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P104" s="17">
        <v>0.4208333333333325</v>
      </c>
      <c r="Q104" s="17">
        <v>0.59333333333333205</v>
      </c>
      <c r="R104" s="17"/>
    </row>
    <row r="105" spans="1:1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P105" s="17">
        <v>0.42499999999999916</v>
      </c>
      <c r="Q105" s="17">
        <v>0.59999999999999865</v>
      </c>
      <c r="R105" s="17"/>
    </row>
    <row r="106" spans="1:1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P106" s="17">
        <v>0.42916666666666581</v>
      </c>
      <c r="Q106" s="17">
        <v>0.60666666666666524</v>
      </c>
      <c r="R106" s="17"/>
    </row>
    <row r="107" spans="1:1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P107" s="17">
        <v>0.43333333333333246</v>
      </c>
      <c r="Q107" s="17">
        <v>0.61333333333333184</v>
      </c>
      <c r="R107" s="17"/>
    </row>
    <row r="108" spans="1:1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P108" s="17">
        <v>0.43749999999999917</v>
      </c>
      <c r="Q108" s="17">
        <v>0.61999999999999866</v>
      </c>
      <c r="R108" s="17"/>
    </row>
    <row r="109" spans="1:1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P109" s="17">
        <v>0.44166666666666576</v>
      </c>
      <c r="Q109" s="17">
        <v>0.62666666666666526</v>
      </c>
      <c r="R109" s="17"/>
    </row>
    <row r="110" spans="1:1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P110" s="17">
        <v>0.44583333333333242</v>
      </c>
      <c r="Q110" s="17">
        <v>0.63333333333333186</v>
      </c>
      <c r="R110" s="17"/>
    </row>
    <row r="111" spans="1:1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P111" s="17">
        <v>0.44999999999999907</v>
      </c>
      <c r="Q111" s="17">
        <v>0.63999999999999846</v>
      </c>
      <c r="R111" s="17"/>
    </row>
    <row r="112" spans="1:1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P112" s="17">
        <v>0.45416666666666572</v>
      </c>
      <c r="Q112" s="17">
        <v>0.64666666666666517</v>
      </c>
      <c r="R112" s="17"/>
    </row>
    <row r="113" spans="1:1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P113" s="17">
        <v>0.45833333333333237</v>
      </c>
      <c r="Q113" s="17">
        <v>0.65333333333333177</v>
      </c>
      <c r="R113" s="17"/>
    </row>
    <row r="114" spans="1:1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P114" s="17">
        <v>0.46249999999999902</v>
      </c>
      <c r="Q114" s="17">
        <v>0.65999999999999848</v>
      </c>
      <c r="R114" s="17"/>
    </row>
    <row r="115" spans="1:1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P115" s="17">
        <v>0.46666666666666567</v>
      </c>
      <c r="Q115" s="17">
        <v>0.66666666666666496</v>
      </c>
      <c r="R115" s="17"/>
    </row>
    <row r="116" spans="1:1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P116" s="17">
        <v>0.47083333333333227</v>
      </c>
      <c r="Q116" s="17">
        <v>0.67333333333333167</v>
      </c>
      <c r="R116" s="17"/>
    </row>
    <row r="117" spans="1:1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P117" s="17">
        <v>0.47499999999999898</v>
      </c>
      <c r="Q117" s="17">
        <v>0.67999999999999838</v>
      </c>
      <c r="R117" s="17"/>
    </row>
    <row r="118" spans="1:1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P118" s="17">
        <v>0.47916666666666563</v>
      </c>
      <c r="Q118" s="17">
        <v>0.68666666666666498</v>
      </c>
      <c r="R118" s="17"/>
    </row>
    <row r="119" spans="1:1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P119" s="17">
        <v>0.48333333333333228</v>
      </c>
      <c r="Q119" s="17">
        <v>0.69333333333333169</v>
      </c>
      <c r="R119" s="17"/>
    </row>
    <row r="120" spans="1:1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P120" s="17">
        <v>0.48749999999999893</v>
      </c>
      <c r="Q120" s="17">
        <v>0.69999999999999829</v>
      </c>
      <c r="R120" s="17"/>
    </row>
    <row r="121" spans="1:1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P121" s="17">
        <v>0.49166666666666559</v>
      </c>
      <c r="Q121" s="17">
        <v>0.70666666666666489</v>
      </c>
      <c r="R121" s="17"/>
    </row>
    <row r="122" spans="1:1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P122" s="17">
        <v>0.49583333333333224</v>
      </c>
      <c r="Q122" s="17">
        <v>0.7133333333333316</v>
      </c>
      <c r="R122" s="17"/>
    </row>
    <row r="123" spans="1:1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P123" s="17">
        <v>0.49999999999999889</v>
      </c>
      <c r="Q123" s="17">
        <v>0.7199999999999982</v>
      </c>
      <c r="R123" s="17"/>
    </row>
    <row r="124" spans="1:1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P124" s="17">
        <v>0.50416666666666554</v>
      </c>
      <c r="Q124" s="17">
        <v>0.72374999999999901</v>
      </c>
      <c r="R124" s="17"/>
    </row>
    <row r="125" spans="1:1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P125" s="17">
        <v>0.50833333333333219</v>
      </c>
      <c r="Q125" s="17">
        <v>0.72749999999999904</v>
      </c>
      <c r="R125" s="17"/>
    </row>
    <row r="126" spans="1:1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P126" s="17">
        <v>0.51249999999999885</v>
      </c>
      <c r="Q126" s="17">
        <v>0.73124999999999896</v>
      </c>
      <c r="R126" s="17"/>
    </row>
    <row r="127" spans="1:1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P127" s="17">
        <v>0.5166666666666655</v>
      </c>
      <c r="Q127" s="17">
        <v>0.73499999999999899</v>
      </c>
      <c r="R127" s="17"/>
    </row>
    <row r="128" spans="1:1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P128" s="17">
        <v>0.52083333333333215</v>
      </c>
      <c r="Q128" s="17">
        <v>0.73874999999999891</v>
      </c>
      <c r="R128" s="17"/>
    </row>
    <row r="129" spans="1:1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P129" s="17">
        <v>0.5249999999999988</v>
      </c>
      <c r="Q129" s="17">
        <v>0.74249999999999883</v>
      </c>
      <c r="R129" s="17"/>
    </row>
    <row r="130" spans="1:1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P130" s="17">
        <v>0.52916666666666545</v>
      </c>
      <c r="Q130" s="17">
        <v>0.74624999999999886</v>
      </c>
      <c r="R130" s="17"/>
    </row>
    <row r="131" spans="1:1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P131" s="17">
        <v>0.5333333333333321</v>
      </c>
      <c r="Q131" s="17">
        <v>0.74999999999999889</v>
      </c>
      <c r="R131" s="17"/>
    </row>
    <row r="132" spans="1:1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P132" s="17">
        <v>0.53749999999999876</v>
      </c>
      <c r="Q132" s="17">
        <v>0.75374999999999881</v>
      </c>
      <c r="R132" s="17"/>
    </row>
    <row r="133" spans="1:1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P133" s="17">
        <v>0.54166666666666541</v>
      </c>
      <c r="Q133" s="17">
        <v>0.75749999999999884</v>
      </c>
      <c r="R133" s="17"/>
    </row>
    <row r="134" spans="1:1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P134" s="17">
        <v>0.54583333333333206</v>
      </c>
      <c r="Q134" s="17">
        <v>0.76124999999999887</v>
      </c>
      <c r="R134" s="17"/>
    </row>
    <row r="135" spans="1:1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P135" s="17">
        <v>0.54999999999999871</v>
      </c>
      <c r="Q135" s="17">
        <v>0.7649999999999989</v>
      </c>
      <c r="R135" s="17"/>
    </row>
    <row r="136" spans="1:1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P136" s="17">
        <v>0.55416666666666536</v>
      </c>
      <c r="Q136" s="17">
        <v>0.76874999999999882</v>
      </c>
      <c r="R136" s="17"/>
    </row>
    <row r="137" spans="1:1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P137" s="17">
        <v>0.55833333333333202</v>
      </c>
      <c r="Q137" s="17">
        <v>0.77249999999999885</v>
      </c>
      <c r="R137" s="17"/>
    </row>
    <row r="138" spans="1:1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P138" s="17">
        <v>0.56249999999999867</v>
      </c>
      <c r="Q138" s="17">
        <v>0.77624999999999877</v>
      </c>
      <c r="R138" s="17"/>
    </row>
    <row r="139" spans="1:1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P139" s="17">
        <v>0.56666666666666532</v>
      </c>
      <c r="Q139" s="17">
        <v>0.77999999999999869</v>
      </c>
      <c r="R139" s="17"/>
    </row>
    <row r="140" spans="1:1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P140" s="17">
        <v>0.57083333333333197</v>
      </c>
      <c r="Q140" s="17">
        <v>0.78374999999999884</v>
      </c>
      <c r="R140" s="17"/>
    </row>
    <row r="141" spans="1:1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P141" s="17">
        <v>0.57499999999999862</v>
      </c>
      <c r="Q141" s="17">
        <v>0.78749999999999876</v>
      </c>
      <c r="R141" s="17"/>
    </row>
    <row r="142" spans="1:1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P142" s="17">
        <v>0.57916666666666528</v>
      </c>
      <c r="Q142" s="17">
        <v>0.79124999999999868</v>
      </c>
      <c r="R142" s="17"/>
    </row>
    <row r="143" spans="1:1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P143" s="17">
        <v>0.58333333333333193</v>
      </c>
      <c r="Q143" s="17">
        <v>0.79499999999999871</v>
      </c>
      <c r="R143" s="17"/>
    </row>
    <row r="144" spans="1:1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P144" s="17">
        <v>0.58749999999999858</v>
      </c>
      <c r="Q144" s="17">
        <v>0.79874999999999874</v>
      </c>
      <c r="R144" s="17"/>
    </row>
    <row r="145" spans="1:1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P145" s="17">
        <v>0.59166666666666523</v>
      </c>
      <c r="Q145" s="17">
        <v>0.80249999999999877</v>
      </c>
      <c r="R145" s="17"/>
    </row>
    <row r="146" spans="1:1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P146" s="17">
        <v>0.59583333333333188</v>
      </c>
      <c r="Q146" s="17">
        <v>0.80624999999999869</v>
      </c>
      <c r="R146" s="17"/>
    </row>
    <row r="147" spans="1:1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P147" s="17">
        <v>0.59999999999999853</v>
      </c>
      <c r="Q147" s="17">
        <v>0.80999999999999872</v>
      </c>
      <c r="R147" s="17"/>
    </row>
    <row r="148" spans="1:1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P148" s="17">
        <v>0.60416666666666519</v>
      </c>
      <c r="Q148" s="17">
        <v>0.81291666666666562</v>
      </c>
      <c r="R148" s="17"/>
    </row>
    <row r="149" spans="1:1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P149" s="17">
        <v>0.60833333333333184</v>
      </c>
      <c r="Q149" s="17">
        <v>0.8158333333333323</v>
      </c>
      <c r="R149" s="17"/>
    </row>
    <row r="150" spans="1:1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P150" s="17">
        <v>0.61249999999999849</v>
      </c>
      <c r="Q150" s="17">
        <v>0.81874999999999898</v>
      </c>
      <c r="R150" s="17"/>
    </row>
    <row r="151" spans="1:1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P151" s="17">
        <v>0.61666666666666514</v>
      </c>
      <c r="Q151" s="17">
        <v>0.82166666666666555</v>
      </c>
      <c r="R151" s="17"/>
    </row>
    <row r="152" spans="1:1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P152" s="17">
        <v>0.62083333333333179</v>
      </c>
      <c r="Q152" s="17">
        <v>0.82458333333333234</v>
      </c>
      <c r="R152" s="17"/>
    </row>
    <row r="153" spans="1:1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P153" s="17">
        <v>0.62499999999999845</v>
      </c>
      <c r="Q153" s="17">
        <v>0.8274999999999989</v>
      </c>
      <c r="R153" s="17"/>
    </row>
    <row r="154" spans="1:1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P154" s="17">
        <v>0.6291666666666651</v>
      </c>
      <c r="Q154" s="17">
        <v>0.83041666666666558</v>
      </c>
      <c r="R154" s="17"/>
    </row>
    <row r="155" spans="1:1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P155" s="17">
        <v>0.63333333333333175</v>
      </c>
      <c r="Q155" s="17">
        <v>0.83333333333333215</v>
      </c>
      <c r="R155" s="17"/>
    </row>
    <row r="156" spans="1:1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P156" s="17">
        <v>0.6374999999999984</v>
      </c>
      <c r="Q156" s="17">
        <v>0.83624999999999883</v>
      </c>
      <c r="R156" s="17"/>
    </row>
    <row r="157" spans="1:1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P157" s="17">
        <v>0.64166666666666505</v>
      </c>
      <c r="Q157" s="17">
        <v>0.8391666666666654</v>
      </c>
      <c r="R157" s="17"/>
    </row>
    <row r="158" spans="1:1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P158" s="17">
        <v>0.64583333333333171</v>
      </c>
      <c r="Q158" s="17">
        <v>0.84208333333333218</v>
      </c>
      <c r="R158" s="17"/>
    </row>
    <row r="159" spans="1:1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P159" s="17">
        <v>0.64999999999999825</v>
      </c>
      <c r="Q159" s="17">
        <v>0.84499999999999886</v>
      </c>
      <c r="R159" s="17"/>
    </row>
    <row r="160" spans="1:1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P160" s="17">
        <v>0.65416666666666501</v>
      </c>
      <c r="Q160" s="17">
        <v>0.84791666666666543</v>
      </c>
      <c r="R160" s="17"/>
    </row>
    <row r="161" spans="1:1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P161" s="17">
        <v>0.65833333333333177</v>
      </c>
      <c r="Q161" s="17">
        <v>0.85083333333333211</v>
      </c>
      <c r="R161" s="17"/>
    </row>
    <row r="162" spans="1:1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P162" s="17">
        <v>0.66249999999999831</v>
      </c>
      <c r="Q162" s="17">
        <v>0.8537499999999989</v>
      </c>
      <c r="R162" s="17"/>
    </row>
    <row r="163" spans="1:1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P163" s="17">
        <v>0.66666666666666496</v>
      </c>
      <c r="Q163" s="17">
        <v>0.85666666666666547</v>
      </c>
      <c r="R163" s="17"/>
    </row>
    <row r="164" spans="1:1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P164" s="17">
        <v>0.67083333333333162</v>
      </c>
      <c r="Q164" s="17">
        <v>0.85958333333333214</v>
      </c>
      <c r="R164" s="17"/>
    </row>
    <row r="165" spans="1:1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P165" s="17">
        <v>0.67499999999999849</v>
      </c>
      <c r="Q165" s="17">
        <v>0.86249999999999882</v>
      </c>
      <c r="R165" s="17"/>
    </row>
    <row r="166" spans="1:1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P166" s="17">
        <v>0.67916666666666503</v>
      </c>
      <c r="Q166" s="17">
        <v>0.86541666666666539</v>
      </c>
      <c r="R166" s="17"/>
    </row>
    <row r="167" spans="1:1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P167" s="17">
        <v>0.68333333333333168</v>
      </c>
      <c r="Q167" s="17">
        <v>0.86833333333333218</v>
      </c>
      <c r="R167" s="17"/>
    </row>
    <row r="168" spans="1:1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P168" s="17">
        <v>0.68749999999999856</v>
      </c>
      <c r="Q168" s="17">
        <v>0.87124999999999897</v>
      </c>
      <c r="R168" s="17"/>
    </row>
    <row r="169" spans="1:1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P169" s="17">
        <v>0.6916666666666651</v>
      </c>
      <c r="Q169" s="17">
        <v>0.87416666666666554</v>
      </c>
      <c r="R169" s="17"/>
    </row>
    <row r="170" spans="1:1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P170" s="17">
        <v>0.69583333333333197</v>
      </c>
      <c r="Q170" s="17">
        <v>0.87708333333333244</v>
      </c>
      <c r="R170" s="17"/>
    </row>
    <row r="171" spans="1:1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P171" s="17">
        <v>0.69999999999999873</v>
      </c>
      <c r="Q171" s="17">
        <v>0.87999999999999912</v>
      </c>
      <c r="R171" s="17"/>
    </row>
    <row r="172" spans="1:1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P172" s="17">
        <v>0.70416666666666539</v>
      </c>
      <c r="Q172" s="17">
        <v>0.88249999999999929</v>
      </c>
      <c r="R172" s="17"/>
    </row>
    <row r="173" spans="1:1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P173" s="17">
        <v>0.70833333333333215</v>
      </c>
      <c r="Q173" s="17">
        <v>0.88499999999999934</v>
      </c>
      <c r="R173" s="17"/>
    </row>
    <row r="174" spans="1:1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P174" s="17">
        <v>0.71249999999999891</v>
      </c>
      <c r="Q174" s="17">
        <v>0.88749999999999929</v>
      </c>
      <c r="R174" s="17"/>
    </row>
    <row r="175" spans="1:1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P175" s="17">
        <v>0.71666666666666556</v>
      </c>
      <c r="Q175" s="17">
        <v>0.88999999999999924</v>
      </c>
      <c r="R175" s="17"/>
    </row>
    <row r="176" spans="1:1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P176" s="17">
        <v>0.72083333333333233</v>
      </c>
      <c r="Q176" s="17">
        <v>0.8924999999999994</v>
      </c>
      <c r="R176" s="17"/>
    </row>
    <row r="177" spans="1:1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P177" s="17">
        <v>0.7249999999999992</v>
      </c>
      <c r="Q177" s="17">
        <v>0.89499999999999946</v>
      </c>
      <c r="R177" s="17"/>
    </row>
    <row r="178" spans="1:1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P178" s="17">
        <v>0.72916666666666574</v>
      </c>
      <c r="Q178" s="17">
        <v>0.89749999999999941</v>
      </c>
      <c r="R178" s="17"/>
    </row>
    <row r="179" spans="1:1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P179" s="17">
        <v>0.73333333333333262</v>
      </c>
      <c r="Q179" s="17">
        <v>0.89999999999999958</v>
      </c>
      <c r="R179" s="17"/>
    </row>
    <row r="180" spans="1:1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P180" s="17">
        <v>0.73749999999999927</v>
      </c>
      <c r="Q180" s="17">
        <v>0.90249999999999952</v>
      </c>
      <c r="R180" s="17"/>
    </row>
    <row r="181" spans="1:1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P181" s="17">
        <v>0.74166666666666581</v>
      </c>
      <c r="Q181" s="17">
        <v>0.90499999999999958</v>
      </c>
      <c r="R181" s="17"/>
    </row>
    <row r="182" spans="1:1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P182" s="17">
        <v>0.74583333333333268</v>
      </c>
      <c r="Q182" s="17">
        <v>0.90749999999999953</v>
      </c>
      <c r="R182" s="17"/>
    </row>
    <row r="183" spans="1:1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P183" s="17">
        <v>0.74999999999999944</v>
      </c>
      <c r="Q183" s="17">
        <v>0.9099999999999997</v>
      </c>
      <c r="R183" s="17"/>
    </row>
    <row r="184" spans="1:1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P184" s="17">
        <v>0.7541666666666661</v>
      </c>
      <c r="Q184" s="17">
        <v>0.91249999999999976</v>
      </c>
      <c r="R184" s="17"/>
    </row>
    <row r="185" spans="1:1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P185" s="17">
        <v>0.75833333333333286</v>
      </c>
      <c r="Q185" s="17">
        <v>0.9149999999999997</v>
      </c>
      <c r="R185" s="17"/>
    </row>
    <row r="186" spans="1:1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P186" s="17">
        <v>0.76249999999999962</v>
      </c>
      <c r="Q186" s="17">
        <v>0.91749999999999976</v>
      </c>
      <c r="R186" s="17"/>
    </row>
    <row r="187" spans="1:1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P187" s="17">
        <v>0.76666666666666627</v>
      </c>
      <c r="Q187" s="17">
        <v>0.91999999999999971</v>
      </c>
      <c r="R187" s="17"/>
    </row>
    <row r="188" spans="1:1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P188" s="17">
        <v>0.77083333333333304</v>
      </c>
      <c r="Q188" s="17">
        <v>0.92249999999999988</v>
      </c>
      <c r="R188" s="17"/>
    </row>
    <row r="189" spans="1:1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P189" s="17">
        <v>0.77499999999999991</v>
      </c>
      <c r="Q189" s="17">
        <v>0.92499999999999982</v>
      </c>
      <c r="R189" s="17"/>
    </row>
    <row r="190" spans="1:1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P190" s="17">
        <v>0.77916666666666645</v>
      </c>
      <c r="Q190" s="17">
        <v>0.92749999999999988</v>
      </c>
      <c r="R190" s="17"/>
    </row>
    <row r="191" spans="1:1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P191" s="17">
        <v>0.7833333333333331</v>
      </c>
      <c r="Q191" s="17">
        <v>0.92999999999999983</v>
      </c>
      <c r="R191" s="17"/>
    </row>
    <row r="192" spans="1:1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P192" s="17">
        <v>0.78749999999999998</v>
      </c>
      <c r="Q192" s="17">
        <v>0.9325</v>
      </c>
      <c r="R192" s="17"/>
    </row>
    <row r="193" spans="1:1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P193" s="17">
        <v>0.79166666666666652</v>
      </c>
      <c r="Q193" s="17">
        <v>0.93500000000000005</v>
      </c>
      <c r="R193" s="17"/>
    </row>
    <row r="194" spans="1:1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P194" s="17">
        <v>0.79583333333333339</v>
      </c>
      <c r="Q194" s="17">
        <v>0.9375</v>
      </c>
      <c r="R194" s="17"/>
    </row>
    <row r="195" spans="1:1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P195" s="17">
        <v>0.80000000000000016</v>
      </c>
      <c r="Q195" s="17">
        <v>0.94</v>
      </c>
      <c r="R195" s="17"/>
    </row>
    <row r="196" spans="1:1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P196" s="17">
        <v>0.80416666666666681</v>
      </c>
      <c r="Q196" s="17">
        <v>0.94125000000000003</v>
      </c>
      <c r="R196" s="17"/>
    </row>
    <row r="197" spans="1:1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P197" s="17">
        <v>0.80833333333333357</v>
      </c>
      <c r="Q197" s="17">
        <v>0.9425</v>
      </c>
      <c r="R197" s="17"/>
    </row>
    <row r="198" spans="1:1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P198" s="17">
        <v>0.81250000000000033</v>
      </c>
      <c r="Q198" s="17">
        <v>0.94375000000000009</v>
      </c>
      <c r="R198" s="17"/>
    </row>
    <row r="199" spans="1:1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P199" s="17">
        <v>0.81666666666666698</v>
      </c>
      <c r="Q199" s="17">
        <v>0.94500000000000017</v>
      </c>
      <c r="R199" s="17"/>
    </row>
    <row r="200" spans="1:1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P200" s="17">
        <v>0.82083333333333375</v>
      </c>
      <c r="Q200" s="17">
        <v>0.94625000000000015</v>
      </c>
      <c r="R200" s="17"/>
    </row>
    <row r="201" spans="1:1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P201" s="17">
        <v>0.82500000000000062</v>
      </c>
      <c r="Q201" s="17">
        <v>0.94750000000000012</v>
      </c>
      <c r="R201" s="17"/>
    </row>
    <row r="202" spans="1:1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P202" s="17">
        <v>0.82916666666666716</v>
      </c>
      <c r="Q202" s="17">
        <v>0.94875000000000009</v>
      </c>
      <c r="R202" s="17"/>
    </row>
    <row r="203" spans="1:1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P203" s="17">
        <v>0.83333333333333404</v>
      </c>
      <c r="Q203" s="17">
        <v>0.95000000000000018</v>
      </c>
      <c r="R203" s="17"/>
    </row>
    <row r="204" spans="1:1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P204" s="17">
        <v>0.83750000000000069</v>
      </c>
      <c r="Q204" s="17">
        <v>0.95125000000000026</v>
      </c>
      <c r="R204" s="17"/>
    </row>
    <row r="205" spans="1:1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P205" s="17">
        <v>0.84166666666666723</v>
      </c>
      <c r="Q205" s="17">
        <v>0.95250000000000012</v>
      </c>
      <c r="R205" s="17"/>
    </row>
    <row r="206" spans="1:1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P206" s="17">
        <v>0.8458333333333341</v>
      </c>
      <c r="Q206" s="17">
        <v>0.95375000000000032</v>
      </c>
      <c r="R206" s="17"/>
    </row>
    <row r="207" spans="1:1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P207" s="17">
        <v>0.85000000000000087</v>
      </c>
      <c r="Q207" s="17">
        <v>0.95500000000000029</v>
      </c>
      <c r="R207" s="17"/>
    </row>
    <row r="208" spans="1:1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P208" s="17">
        <v>0.85416666666666752</v>
      </c>
      <c r="Q208" s="17">
        <v>0.95625000000000027</v>
      </c>
      <c r="R208" s="17"/>
    </row>
    <row r="209" spans="1:1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P209" s="17">
        <v>0.85833333333333428</v>
      </c>
      <c r="Q209" s="17">
        <v>0.95750000000000024</v>
      </c>
      <c r="R209" s="17"/>
    </row>
    <row r="210" spans="1:1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P210" s="17">
        <v>0.86250000000000104</v>
      </c>
      <c r="Q210" s="17">
        <v>0.95875000000000032</v>
      </c>
      <c r="R210" s="17"/>
    </row>
    <row r="211" spans="1:1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P211" s="17">
        <v>0.8666666666666677</v>
      </c>
      <c r="Q211" s="17">
        <v>0.9600000000000003</v>
      </c>
      <c r="R211" s="17"/>
    </row>
    <row r="212" spans="1:1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P212" s="17">
        <v>0.87083333333333446</v>
      </c>
      <c r="Q212" s="17">
        <v>0.96125000000000027</v>
      </c>
      <c r="R212" s="17"/>
    </row>
    <row r="213" spans="1:1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P213" s="17">
        <v>0.87500000000000133</v>
      </c>
      <c r="Q213" s="17">
        <v>0.96250000000000047</v>
      </c>
      <c r="R213" s="17"/>
    </row>
    <row r="214" spans="1:1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P214" s="17">
        <v>0.87916666666666787</v>
      </c>
      <c r="Q214" s="17">
        <v>0.96375000000000033</v>
      </c>
      <c r="R214" s="17"/>
    </row>
    <row r="215" spans="1:1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P215" s="17">
        <v>0.88333333333333452</v>
      </c>
      <c r="Q215" s="17">
        <v>0.96500000000000041</v>
      </c>
      <c r="R215" s="17"/>
    </row>
    <row r="216" spans="1:1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P216" s="17">
        <v>0.8875000000000014</v>
      </c>
      <c r="Q216" s="17">
        <v>0.96625000000000039</v>
      </c>
      <c r="R216" s="17"/>
    </row>
    <row r="217" spans="1:1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P217" s="17">
        <v>0.89166666666666794</v>
      </c>
      <c r="Q217" s="17">
        <v>0.96750000000000047</v>
      </c>
      <c r="R217" s="17"/>
    </row>
    <row r="218" spans="1:1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P218" s="17">
        <v>0.89583333333333481</v>
      </c>
      <c r="Q218" s="17">
        <v>0.96875000000000044</v>
      </c>
      <c r="R218" s="17"/>
    </row>
    <row r="219" spans="1:1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P219" s="17">
        <v>0.90000000000000158</v>
      </c>
      <c r="Q219" s="17">
        <v>0.97000000000000042</v>
      </c>
      <c r="R219" s="17"/>
    </row>
    <row r="220" spans="1:1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P220" s="17">
        <v>0.90416666666666823</v>
      </c>
      <c r="Q220" s="17">
        <v>0.97125000000000039</v>
      </c>
      <c r="R220" s="17"/>
    </row>
    <row r="221" spans="1:1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P221" s="17">
        <v>0.90833333333333499</v>
      </c>
      <c r="Q221" s="17">
        <v>0.97250000000000059</v>
      </c>
      <c r="R221" s="17"/>
    </row>
    <row r="222" spans="1:1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P222" s="17">
        <v>0.91250000000000175</v>
      </c>
      <c r="Q222" s="17">
        <v>0.97375000000000056</v>
      </c>
      <c r="R222" s="17"/>
    </row>
    <row r="223" spans="1:1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P223" s="17">
        <v>0.91666666666666841</v>
      </c>
      <c r="Q223" s="17">
        <v>0.97500000000000053</v>
      </c>
      <c r="R223" s="17"/>
    </row>
    <row r="224" spans="1:1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P224" s="17">
        <v>0.92083333333333517</v>
      </c>
      <c r="Q224" s="17">
        <v>0.97625000000000062</v>
      </c>
      <c r="R224" s="17"/>
    </row>
    <row r="225" spans="1:1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P225" s="17">
        <v>0.92500000000000204</v>
      </c>
      <c r="Q225" s="17">
        <v>0.97750000000000059</v>
      </c>
      <c r="R225" s="17"/>
    </row>
    <row r="226" spans="1:1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P226" s="17">
        <v>0.92916666666666858</v>
      </c>
      <c r="Q226" s="17">
        <v>0.97875000000000056</v>
      </c>
      <c r="R226" s="17"/>
    </row>
    <row r="227" spans="1:1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P227" s="17">
        <v>0.93333333333333546</v>
      </c>
      <c r="Q227" s="17">
        <v>0.98000000000000054</v>
      </c>
      <c r="R227" s="17"/>
    </row>
    <row r="228" spans="1:1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P228" s="17">
        <v>0.93750000000000211</v>
      </c>
      <c r="Q228" s="17">
        <v>0.98125000000000062</v>
      </c>
      <c r="R228" s="17"/>
    </row>
    <row r="229" spans="1:1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P229" s="17">
        <v>0.94166666666666865</v>
      </c>
      <c r="Q229" s="17">
        <v>0.9825000000000006</v>
      </c>
      <c r="R229" s="17"/>
    </row>
    <row r="230" spans="1:1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P230" s="17">
        <v>0.94583333333333552</v>
      </c>
      <c r="Q230" s="17">
        <v>0.98375000000000068</v>
      </c>
      <c r="R230" s="17"/>
    </row>
    <row r="231" spans="1:1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P231" s="17">
        <v>0.95000000000000229</v>
      </c>
      <c r="Q231" s="17">
        <v>0.98500000000000076</v>
      </c>
      <c r="R231" s="17"/>
    </row>
    <row r="232" spans="1:1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P232" s="17">
        <v>0.95416666666666894</v>
      </c>
      <c r="Q232" s="17">
        <v>0.98625000000000074</v>
      </c>
      <c r="R232" s="17"/>
    </row>
    <row r="233" spans="1:1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P233" s="17">
        <v>0.9583333333333357</v>
      </c>
      <c r="Q233" s="17">
        <v>0.98750000000000071</v>
      </c>
      <c r="R233" s="17"/>
    </row>
    <row r="234" spans="1:1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P234" s="17">
        <v>0.96250000000000246</v>
      </c>
      <c r="Q234" s="17">
        <v>0.98875000000000068</v>
      </c>
      <c r="R234" s="17"/>
    </row>
    <row r="235" spans="1:1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P235" s="17">
        <v>0.96666666666666912</v>
      </c>
      <c r="Q235" s="17">
        <v>0.99000000000000066</v>
      </c>
      <c r="R235" s="17"/>
    </row>
    <row r="236" spans="1:1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P236" s="17">
        <v>0.97083333333333588</v>
      </c>
      <c r="Q236" s="17">
        <v>0.99125000000000074</v>
      </c>
      <c r="R236" s="17"/>
    </row>
    <row r="237" spans="1:1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P237" s="17">
        <v>0.97500000000000275</v>
      </c>
      <c r="Q237" s="17">
        <v>0.99250000000000083</v>
      </c>
      <c r="R237" s="17"/>
    </row>
    <row r="238" spans="1:1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P238" s="17">
        <v>0.97916666666666929</v>
      </c>
      <c r="Q238" s="17">
        <v>0.9937500000000008</v>
      </c>
      <c r="R238" s="17"/>
    </row>
    <row r="239" spans="1:1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P239" s="17">
        <v>0.98333333333333595</v>
      </c>
      <c r="Q239" s="17">
        <v>0.99500000000000088</v>
      </c>
      <c r="R239" s="17"/>
    </row>
    <row r="240" spans="1:1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P240" s="17">
        <v>0.98750000000000282</v>
      </c>
      <c r="Q240" s="17">
        <v>0.99625000000000086</v>
      </c>
      <c r="R240" s="17"/>
    </row>
    <row r="241" spans="1:1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P241" s="17">
        <v>0.99166666666666936</v>
      </c>
      <c r="Q241" s="17">
        <v>0.99750000000000083</v>
      </c>
      <c r="R241" s="17"/>
    </row>
    <row r="242" spans="1:1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P242" s="17">
        <v>0.99583333333333623</v>
      </c>
      <c r="Q242" s="17">
        <v>0.9987500000000008</v>
      </c>
      <c r="R242" s="17"/>
    </row>
    <row r="243" spans="1:18" x14ac:dyDescent="0.3">
      <c r="P243" s="17">
        <v>1.0000000000000029</v>
      </c>
      <c r="Q243" s="17">
        <v>1.0000000000000009</v>
      </c>
      <c r="R243" s="1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9F95-56CA-420C-A8F3-E6555BAE56CD}">
  <sheetPr codeName="Sheet6"/>
  <dimension ref="A1:C34"/>
  <sheetViews>
    <sheetView workbookViewId="0">
      <selection activeCell="K8" sqref="K8"/>
    </sheetView>
  </sheetViews>
  <sheetFormatPr defaultRowHeight="14.4" x14ac:dyDescent="0.3"/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 s="14">
        <v>0</v>
      </c>
      <c r="B2" s="15">
        <v>0</v>
      </c>
      <c r="C2" s="15">
        <v>0</v>
      </c>
    </row>
    <row r="3" spans="1:3" x14ac:dyDescent="0.3">
      <c r="A3">
        <v>0.1</v>
      </c>
      <c r="B3" s="15">
        <v>0.03</v>
      </c>
      <c r="C3">
        <v>1E-3</v>
      </c>
    </row>
    <row r="4" spans="1:3" x14ac:dyDescent="0.3">
      <c r="A4">
        <v>0.2</v>
      </c>
      <c r="B4" s="15">
        <v>0.1</v>
      </c>
      <c r="C4">
        <v>6.0000000000000001E-3</v>
      </c>
    </row>
    <row r="5" spans="1:3" x14ac:dyDescent="0.3">
      <c r="A5">
        <v>0.3</v>
      </c>
      <c r="B5" s="15">
        <v>0.19</v>
      </c>
      <c r="C5">
        <v>1.7000000000000001E-2</v>
      </c>
    </row>
    <row r="6" spans="1:3" x14ac:dyDescent="0.3">
      <c r="A6">
        <v>0.4</v>
      </c>
      <c r="B6" s="15">
        <v>0.31</v>
      </c>
      <c r="C6">
        <v>3.5000000000000003E-2</v>
      </c>
    </row>
    <row r="7" spans="1:3" x14ac:dyDescent="0.3">
      <c r="A7">
        <v>0.5</v>
      </c>
      <c r="B7" s="15">
        <v>0.47</v>
      </c>
      <c r="C7">
        <v>6.5000000000000002E-2</v>
      </c>
    </row>
    <row r="8" spans="1:3" x14ac:dyDescent="0.3">
      <c r="A8">
        <v>0.6</v>
      </c>
      <c r="B8" s="15">
        <v>0.66</v>
      </c>
      <c r="C8">
        <v>0.107</v>
      </c>
    </row>
    <row r="9" spans="1:3" x14ac:dyDescent="0.3">
      <c r="A9">
        <v>0.7</v>
      </c>
      <c r="B9" s="15">
        <v>0.82</v>
      </c>
      <c r="C9">
        <v>0.16300000000000001</v>
      </c>
    </row>
    <row r="10" spans="1:3" x14ac:dyDescent="0.3">
      <c r="A10">
        <v>0.8</v>
      </c>
      <c r="B10" s="15">
        <v>0.93</v>
      </c>
      <c r="C10" s="15">
        <v>0.22800000000000001</v>
      </c>
    </row>
    <row r="11" spans="1:3" x14ac:dyDescent="0.3">
      <c r="A11">
        <v>0.9</v>
      </c>
      <c r="B11" s="15">
        <v>0.99</v>
      </c>
      <c r="C11" s="15">
        <v>0.3</v>
      </c>
    </row>
    <row r="12" spans="1:3" x14ac:dyDescent="0.3">
      <c r="A12" s="14">
        <v>1</v>
      </c>
      <c r="B12" s="15">
        <v>1</v>
      </c>
      <c r="C12">
        <v>0.375</v>
      </c>
    </row>
    <row r="13" spans="1:3" x14ac:dyDescent="0.3">
      <c r="A13">
        <v>1.1000000000000001</v>
      </c>
      <c r="B13" s="15">
        <v>0.99</v>
      </c>
      <c r="C13" s="15">
        <v>0.45</v>
      </c>
    </row>
    <row r="14" spans="1:3" x14ac:dyDescent="0.3">
      <c r="A14">
        <v>1.2</v>
      </c>
      <c r="B14" s="15">
        <v>0.93</v>
      </c>
      <c r="C14">
        <v>0.52200000000000002</v>
      </c>
    </row>
    <row r="15" spans="1:3" x14ac:dyDescent="0.3">
      <c r="A15">
        <v>1.3</v>
      </c>
      <c r="B15" s="15">
        <v>0.86</v>
      </c>
      <c r="C15">
        <v>0.58899999999999997</v>
      </c>
    </row>
    <row r="16" spans="1:3" x14ac:dyDescent="0.3">
      <c r="A16">
        <v>1.4</v>
      </c>
      <c r="B16" s="15">
        <v>0.78</v>
      </c>
      <c r="C16" s="15">
        <v>0.65</v>
      </c>
    </row>
    <row r="17" spans="1:3" x14ac:dyDescent="0.3">
      <c r="A17">
        <v>1.5</v>
      </c>
      <c r="B17" s="15">
        <v>0.68</v>
      </c>
      <c r="C17">
        <v>0.70499999999999996</v>
      </c>
    </row>
    <row r="18" spans="1:3" x14ac:dyDescent="0.3">
      <c r="A18">
        <v>1.6</v>
      </c>
      <c r="B18" s="15">
        <v>0.56000000000000005</v>
      </c>
      <c r="C18">
        <v>0.751</v>
      </c>
    </row>
    <row r="19" spans="1:3" x14ac:dyDescent="0.3">
      <c r="A19">
        <v>1.7</v>
      </c>
      <c r="B19" s="15">
        <v>0.46</v>
      </c>
      <c r="C19" s="15">
        <v>0.79</v>
      </c>
    </row>
    <row r="20" spans="1:3" x14ac:dyDescent="0.3">
      <c r="A20">
        <v>1.8</v>
      </c>
      <c r="B20" s="15">
        <v>0.39</v>
      </c>
      <c r="C20">
        <v>0.82199999999999995</v>
      </c>
    </row>
    <row r="21" spans="1:3" x14ac:dyDescent="0.3">
      <c r="A21">
        <v>1.9</v>
      </c>
      <c r="B21" s="15">
        <v>0.33</v>
      </c>
      <c r="C21">
        <v>0.84899999999999998</v>
      </c>
    </row>
    <row r="22" spans="1:3" x14ac:dyDescent="0.3">
      <c r="A22" s="14">
        <v>2</v>
      </c>
      <c r="B22" s="15">
        <v>0.28000000000000003</v>
      </c>
      <c r="C22">
        <v>0.871</v>
      </c>
    </row>
    <row r="23" spans="1:3" x14ac:dyDescent="0.3">
      <c r="A23">
        <v>2.2000000000000002</v>
      </c>
      <c r="B23" s="15">
        <v>0.20699999999999999</v>
      </c>
      <c r="C23">
        <v>0.90800000000000003</v>
      </c>
    </row>
    <row r="24" spans="1:3" x14ac:dyDescent="0.3">
      <c r="A24">
        <v>2.4</v>
      </c>
      <c r="B24" s="15">
        <v>0.14699999999999999</v>
      </c>
      <c r="C24">
        <v>0.93400000000000005</v>
      </c>
    </row>
    <row r="25" spans="1:3" x14ac:dyDescent="0.3">
      <c r="A25">
        <v>2.6</v>
      </c>
      <c r="B25" s="15">
        <v>0.107</v>
      </c>
      <c r="C25">
        <v>0.95299999999999996</v>
      </c>
    </row>
    <row r="26" spans="1:3" x14ac:dyDescent="0.3">
      <c r="A26">
        <v>2.8</v>
      </c>
      <c r="B26" s="15">
        <v>7.6999999999999999E-2</v>
      </c>
      <c r="C26">
        <v>0.96699999999999997</v>
      </c>
    </row>
    <row r="27" spans="1:3" x14ac:dyDescent="0.3">
      <c r="A27" s="14">
        <v>3</v>
      </c>
      <c r="B27" s="15">
        <v>5.5E-2</v>
      </c>
      <c r="C27">
        <v>0.97699999999999998</v>
      </c>
    </row>
    <row r="28" spans="1:3" x14ac:dyDescent="0.3">
      <c r="A28">
        <v>3.2</v>
      </c>
      <c r="B28" s="15">
        <v>0.04</v>
      </c>
      <c r="C28">
        <v>0.98399999999999999</v>
      </c>
    </row>
    <row r="29" spans="1:3" x14ac:dyDescent="0.3">
      <c r="A29">
        <v>3.4</v>
      </c>
      <c r="B29" s="15">
        <v>2.9000000000000001E-2</v>
      </c>
      <c r="C29">
        <v>0.98899999999999999</v>
      </c>
    </row>
    <row r="30" spans="1:3" x14ac:dyDescent="0.3">
      <c r="A30">
        <v>3.6</v>
      </c>
      <c r="B30" s="15">
        <v>2.1000000000000001E-2</v>
      </c>
      <c r="C30">
        <v>0.99299999999999999</v>
      </c>
    </row>
    <row r="31" spans="1:3" x14ac:dyDescent="0.3">
      <c r="A31">
        <v>3.8</v>
      </c>
      <c r="B31" s="15">
        <v>1.4999999999999999E-2</v>
      </c>
      <c r="C31">
        <v>0.995</v>
      </c>
    </row>
    <row r="32" spans="1:3" x14ac:dyDescent="0.3">
      <c r="A32" s="14">
        <v>4</v>
      </c>
      <c r="B32" s="15">
        <v>1.0999999999999999E-2</v>
      </c>
      <c r="C32">
        <v>0.997</v>
      </c>
    </row>
    <row r="33" spans="1:3" x14ac:dyDescent="0.3">
      <c r="A33">
        <v>4.5</v>
      </c>
      <c r="B33" s="15">
        <v>5.0000000000000001E-3</v>
      </c>
      <c r="C33">
        <v>0.999</v>
      </c>
    </row>
    <row r="34" spans="1:3" x14ac:dyDescent="0.3">
      <c r="A34" s="14">
        <v>5</v>
      </c>
      <c r="B34" s="15">
        <v>0</v>
      </c>
      <c r="C34" s="1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414187-dd76-4ef8-b04f-ccddae734140" xsi:nil="true"/>
    <lcf76f155ced4ddcb4097134ff3c332f xmlns="63768118-86e2-4829-8a12-b72c47658d0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1C2B958A07241A317F5A881DFD30C" ma:contentTypeVersion="18" ma:contentTypeDescription="Create a new document." ma:contentTypeScope="" ma:versionID="ec29f518eb9a62149baea9c73f5411cd">
  <xsd:schema xmlns:xsd="http://www.w3.org/2001/XMLSchema" xmlns:xs="http://www.w3.org/2001/XMLSchema" xmlns:p="http://schemas.microsoft.com/office/2006/metadata/properties" xmlns:ns2="63768118-86e2-4829-8a12-b72c47658d02" xmlns:ns3="40414187-dd76-4ef8-b04f-ccddae734140" targetNamespace="http://schemas.microsoft.com/office/2006/metadata/properties" ma:root="true" ma:fieldsID="29f6242226419d82ce7554acb1ee2c31" ns2:_="" ns3:_="">
    <xsd:import namespace="63768118-86e2-4829-8a12-b72c47658d02"/>
    <xsd:import namespace="40414187-dd76-4ef8-b04f-ccddae73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68118-86e2-4829-8a12-b72c47658d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46cb916-533d-4f5b-b218-16d8f3981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14187-dd76-4ef8-b04f-ccddae73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af2f6a2-d75c-4e6a-918f-c8e2e64599b7}" ma:internalName="TaxCatchAll" ma:showField="CatchAllData" ma:web="40414187-dd76-4ef8-b04f-ccddae7341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4DA3E6-B8B6-48A6-81EC-CAAD4DEE707B}">
  <ds:schemaRefs>
    <ds:schemaRef ds:uri="http://schemas.microsoft.com/office/2006/metadata/properties"/>
    <ds:schemaRef ds:uri="http://schemas.microsoft.com/office/infopath/2007/PartnerControls"/>
    <ds:schemaRef ds:uri="40414187-dd76-4ef8-b04f-ccddae734140"/>
    <ds:schemaRef ds:uri="63768118-86e2-4829-8a12-b72c47658d02"/>
  </ds:schemaRefs>
</ds:datastoreItem>
</file>

<file path=customXml/itemProps2.xml><?xml version="1.0" encoding="utf-8"?>
<ds:datastoreItem xmlns:ds="http://schemas.openxmlformats.org/officeDocument/2006/customXml" ds:itemID="{26BC43C4-0DE4-4398-8C07-F13A343322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4384BF-B442-43EF-BEBD-26F0C0319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768118-86e2-4829-8a12-b72c47658d02"/>
    <ds:schemaRef ds:uri="40414187-dd76-4ef8-b04f-ccddae7341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 Cuencas</vt:lpstr>
      <vt:lpstr>HUS</vt:lpstr>
      <vt:lpstr>Pp Max</vt:lpstr>
      <vt:lpstr>CD</vt:lpstr>
      <vt:lpstr>Tormentas</vt:lpstr>
      <vt:lpstr>Ratios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Garcia</dc:creator>
  <cp:keywords/>
  <dc:description/>
  <cp:lastModifiedBy>Felipe Garcia</cp:lastModifiedBy>
  <cp:revision/>
  <dcterms:created xsi:type="dcterms:W3CDTF">2015-06-05T18:17:20Z</dcterms:created>
  <dcterms:modified xsi:type="dcterms:W3CDTF">2026-09-01T18:16:41Z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0x010100CCB1C2B958A07241A317F5A881DFD30C</vt:lpwstr>
  </property>
  <property fmtid="{D5CDD505-2E9C-101B-9397-08002B2CF9AE}" pid="3" name="MediaServiceImageTags">
    <vt:lpwstr/>
  </property>
</Properties>
</file>